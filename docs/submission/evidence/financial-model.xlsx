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2"/>
    <sheet name="PM Hypothetical assumptions" sheetId="2" state="visible" r:id="rId3"/>
    <sheet name="PM Monthly economics" sheetId="3" state="visible" r:id="rId4"/>
    <sheet name="PM Repair sensitivity" sheetId="4" state="visible" r:id="rId5"/>
    <sheet name="PM Pricing sensitivity" sheetId="5" state="visible" r:id="rId6"/>
    <sheet name="PM Validation budget" sheetId="6" state="visible" r:id="rId7"/>
    <sheet name="PM Tier economics" sheetId="7" state="visible" r:id="rId8"/>
    <sheet name="PM 12-month cash projection" sheetId="8" state="visible" r:id="rId9"/>
    <sheet name="PM Tax reserve assumption" sheetId="9" state="visible" r:id="rId10"/>
    <sheet name="PM Tax reserve calculation" sheetId="10" state="visible" r:id="rId11"/>
    <sheet name="Model inputs" sheetId="11" state="visible" r:id="rId12"/>
    <sheet name="Judging summary" sheetId="12" state="visible" r:id="rId13"/>
    <sheet name="Repair cases" sheetId="13" state="visible" r:id="rId14"/>
    <sheet name="Pricing cases" sheetId="14" state="visible" r:id="rId15"/>
    <sheet name="Business plan" sheetId="15" state="visible" r:id="rId16"/>
  </sheets>
  <definedNames>
    <definedName function="false" hidden="true" localSheetId="11" name="_xlnm._FilterDatabase" vbProcedure="false">'Judging summary'!$A$1:$G$7</definedName>
    <definedName function="false" hidden="true" localSheetId="13" name="_xlnm._FilterDatabase" vbProcedure="false">'Pricing cases'!$A$1:$F$19</definedName>
    <definedName function="false" hidden="true" localSheetId="12" name="_xlnm._FilterDatabase" vbProcedure="false">'Repair cases'!$A$1:$G$19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<sst xmlns="http://schemas.openxmlformats.org/spreadsheetml/2006/main" count="978" uniqueCount="737">
  <si>
    <t xml:space="preserve">Parity Medic · judging workbook</t>
  </si>
  <si>
    <t xml:space="preserve">Generated by Ari in cfo.ai · 12 October 2026 · USD</t>
  </si>
  <si>
    <t xml:space="preserve">No verified customers or funding. $5,000 starting cash is hypothetical.</t>
  </si>
  <si>
    <t xml:space="preserve">No existing company records or integrations used or changed.</t>
  </si>
  <si>
    <t xml:space="preserve">Native export formulas remain on the PM worksheets and Model inputs.</t>
  </si>
  <si>
    <t xml:space="preserve">Main = 0 accounts; compared scenarios = 100 and 500 accounts.</t>
  </si>
  <si>
    <t xml:space="preserve">Repair cases and Pricing cases are static snapshots of all native-engine scenarios.</t>
  </si>
  <si>
    <t xml:space="preserve">Runway is blank in native formulas for non-burning cases; see status rows.</t>
  </si>
  <si>
    <t xml:space="preserve">Full costs include a hypothetical 20% reserve on positive pre-tax cash operating profit.</t>
  </si>
  <si>
    <t xml:space="preserve">One-time validation = $1,500, deducted in the cash projection, not recurring burn.</t>
  </si>
  <si>
    <t xml:space="preserve">Economic profit also charges unpaid founder time; not a jurisdiction-specific tax forecast.</t>
  </si>
  <si>
    <t xml:space="preserve">Steady-state cases exclude initial customer acquisition. Indicative CAC capital needs:</t>
  </si>
  <si>
    <t xml:space="preserve">100 accounts: local $4,000 / hosted $6,500. 500: local $20,000 / hosted $32,500.</t>
  </si>
  <si>
    <t xml:space="preserve">No demand elasticity, paid-pilot income or funding is booked.</t>
  </si>
  <si>
    <t xml:space="preserve">Provenance: provided brief + labelled hypothetical assumptions; no external sources.</t>
  </si>
  <si>
    <t xml:space="preserve">No Export notes sheet was supplied by the native export; cached main figures were inspected.</t>
  </si>
  <si>
    <t xml:space="preserve">Canvas is interactive/read-only in cfo.ai; this workbook includes report prose but not Canvas.</t>
  </si>
  <si>
    <t xml:space="preserve">PM Hypothetical assumptions</t>
  </si>
  <si>
    <t xml:space="preserve">Parity Medic · neatHack business plan · Main Scenario</t>
  </si>
  <si>
    <t xml:space="preserve">Variable / dimension</t>
  </si>
  <si>
    <t xml:space="preserve">Value</t>
  </si>
  <si>
    <t xml:space="preserve">PM Customers</t>
  </si>
  <si>
    <t xml:space="preserve">PM Team share</t>
  </si>
  <si>
    <t xml:space="preserve">PM Individual price</t>
  </si>
  <si>
    <t xml:space="preserve">PM Team price</t>
  </si>
  <si>
    <t xml:space="preserve">PM Individual repair cap</t>
  </si>
  <si>
    <t xml:space="preserve">PM Team repair cap</t>
  </si>
  <si>
    <t xml:space="preserve">PM Stress repairs per customer</t>
  </si>
  <si>
    <t xml:space="preserve">PM Repair cost</t>
  </si>
  <si>
    <t xml:space="preserve">PM Starting cash hypothetical</t>
  </si>
  <si>
    <t xml:space="preserve">PM Validation budget</t>
  </si>
  <si>
    <t xml:space="preserve">PM Monthly churn</t>
  </si>
  <si>
    <t xml:space="preserve">PM Payment percent</t>
  </si>
  <si>
    <t xml:space="preserve">PM Payment fee</t>
  </si>
  <si>
    <t xml:space="preserve">PM Support hourly cost</t>
  </si>
  <si>
    <t xml:space="preserve">PM Local individual support hours</t>
  </si>
  <si>
    <t xml:space="preserve">PM Local team support hours</t>
  </si>
  <si>
    <t xml:space="preserve">PM Hosted individual support hours</t>
  </si>
  <si>
    <t xml:space="preserve">PM Hosted team support hours</t>
  </si>
  <si>
    <t xml:space="preserve">PM Local individual compute storage</t>
  </si>
  <si>
    <t xml:space="preserve">PM Local team compute storage</t>
  </si>
  <si>
    <t xml:space="preserve">PM Hosted individual compute storage</t>
  </si>
  <si>
    <t xml:space="preserve">PM Hosted team compute storage</t>
  </si>
  <si>
    <t xml:space="preserve">PM Local fixed delivery</t>
  </si>
  <si>
    <t xml:space="preserve">PM Hosted fixed delivery</t>
  </si>
  <si>
    <t xml:space="preserve">PM Local software</t>
  </si>
  <si>
    <t xml:space="preserve">PM Hosted software</t>
  </si>
  <si>
    <t xml:space="preserve">PM Local legal security reserve</t>
  </si>
  <si>
    <t xml:space="preserve">PM Hosted legal security reserve</t>
  </si>
  <si>
    <t xml:space="preserve">PM Local administration</t>
  </si>
  <si>
    <t xml:space="preserve">PM Hosted administration</t>
  </si>
  <si>
    <t xml:space="preserve">PM Local founder cash stipend</t>
  </si>
  <si>
    <t xml:space="preserve">PM Hosted founder cash stipend</t>
  </si>
  <si>
    <t xml:space="preserve">PM Local growth experiments</t>
  </si>
  <si>
    <t xml:space="preserve">PM Hosted growth experiments</t>
  </si>
  <si>
    <t xml:space="preserve">PM Local replacement CAC</t>
  </si>
  <si>
    <t xml:space="preserve">PM Hosted replacement CAC</t>
  </si>
  <si>
    <t xml:space="preserve">PM Founder fair monthly compensation</t>
  </si>
  <si>
    <t xml:space="preserve">PM Monthly economics</t>
  </si>
  <si>
    <t xml:space="preserve">Value &gt; Parity Medic · 100 customers</t>
  </si>
  <si>
    <t xml:space="preserve">Value &gt; Parity Medic · 500 customers</t>
  </si>
  <si>
    <t xml:space="preserve">PM Individuals</t>
  </si>
  <si>
    <t xml:space="preserve">PM Teams</t>
  </si>
  <si>
    <t xml:space="preserve">PM ARPU</t>
  </si>
  <si>
    <t xml:space="preserve">PM Included repairs per customer</t>
  </si>
  <si>
    <t xml:space="preserve">PM MRR</t>
  </si>
  <si>
    <t xml:space="preserve">PM Annualized revenue run rate</t>
  </si>
  <si>
    <t xml:space="preserve">PM Replacement customers per month</t>
  </si>
  <si>
    <t xml:space="preserve">PM Inference per customer</t>
  </si>
  <si>
    <t xml:space="preserve">PM Payment per customer</t>
  </si>
  <si>
    <t xml:space="preserve">PM Local support per customer</t>
  </si>
  <si>
    <t xml:space="preserve">PM Local compute storage per customer</t>
  </si>
  <si>
    <t xml:space="preserve">PM Local variable cost per customer</t>
  </si>
  <si>
    <t xml:space="preserve">PM Local contribution per customer</t>
  </si>
  <si>
    <t xml:space="preserve">PM Local delivery COGS</t>
  </si>
  <si>
    <t xml:space="preserve">PM Local gross profit</t>
  </si>
  <si>
    <t xml:space="preserve">PM Local gross margin</t>
  </si>
  <si>
    <t xml:space="preserve">PM Local replacement acquisition</t>
  </si>
  <si>
    <t xml:space="preserve">PM Local fixed operating cash</t>
  </si>
  <si>
    <t xml:space="preserve">PM Local total monthly cash cost</t>
  </si>
  <si>
    <t xml:space="preserve">PM Local net monthly burn</t>
  </si>
  <si>
    <t xml:space="preserve">PM Local cash operating profit</t>
  </si>
  <si>
    <t xml:space="preserve">PM Local economic profit</t>
  </si>
  <si>
    <t xml:space="preserve">PM Local runway months</t>
  </si>
  <si>
    <t xml:space="preserve">PM Local runway status</t>
  </si>
  <si>
    <t xml:space="preserve">PM Local post-validation runway</t>
  </si>
  <si>
    <t xml:space="preserve">PM Local break-even customers</t>
  </si>
  <si>
    <t xml:space="preserve">PM Local CAC payback months</t>
  </si>
  <si>
    <t xml:space="preserve">PM Hosted support per customer</t>
  </si>
  <si>
    <t xml:space="preserve">PM Hosted compute storage per customer</t>
  </si>
  <si>
    <t xml:space="preserve">PM Hosted variable cost per customer</t>
  </si>
  <si>
    <t xml:space="preserve">PM Hosted contribution per customer</t>
  </si>
  <si>
    <t xml:space="preserve">PM Hosted delivery COGS</t>
  </si>
  <si>
    <t xml:space="preserve">PM Hosted gross profit</t>
  </si>
  <si>
    <t xml:space="preserve">PM Hosted gross margin</t>
  </si>
  <si>
    <t xml:space="preserve">PM Hosted replacement acquisition</t>
  </si>
  <si>
    <t xml:space="preserve">PM Hosted fixed operating cash</t>
  </si>
  <si>
    <t xml:space="preserve">PM Hosted total monthly cash cost</t>
  </si>
  <si>
    <t xml:space="preserve">PM Hosted net monthly burn</t>
  </si>
  <si>
    <t xml:space="preserve">PM Hosted cash operating profit</t>
  </si>
  <si>
    <t xml:space="preserve">PM Hosted economic profit</t>
  </si>
  <si>
    <t xml:space="preserve">PM Hosted runway months</t>
  </si>
  <si>
    <t xml:space="preserve">PM Hosted runway status</t>
  </si>
  <si>
    <t xml:space="preserve">PM Hosted post-validation runway</t>
  </si>
  <si>
    <t xml:space="preserve">PM Hosted break-even customers</t>
  </si>
  <si>
    <t xml:space="preserve">PM Hosted CAC payback months</t>
  </si>
  <si>
    <t xml:space="preserve">PM Repair sensitivity</t>
  </si>
  <si>
    <t xml:space="preserve">PM Sensitivity repair cost</t>
  </si>
  <si>
    <t xml:space="preserve">PM Capped inference per customer</t>
  </si>
  <si>
    <t xml:space="preserve">PM Local Capped sensitivity burn</t>
  </si>
  <si>
    <t xml:space="preserve">PM Local Capped sensitivity runway</t>
  </si>
  <si>
    <t xml:space="preserve">PM Hosted Capped sensitivity burn</t>
  </si>
  <si>
    <t xml:space="preserve">PM Hosted Capped sensitivity runway</t>
  </si>
  <si>
    <t xml:space="preserve">PM Uncapped inference per customer</t>
  </si>
  <si>
    <t xml:space="preserve">PM Local Uncapped sensitivity burn</t>
  </si>
  <si>
    <t xml:space="preserve">PM Local Uncapped sensitivity runway</t>
  </si>
  <si>
    <t xml:space="preserve">PM Hosted Uncapped sensitivity burn</t>
  </si>
  <si>
    <t xml:space="preserve">PM Hosted Uncapped sensitivity runway</t>
  </si>
  <si>
    <t xml:space="preserve">Planning $0.05</t>
  </si>
  <si>
    <t xml:space="preserve">Severe $1.00</t>
  </si>
  <si>
    <t xml:space="preserve">Stress $0.25</t>
  </si>
  <si>
    <t xml:space="preserve">PM Pricing sensitivity</t>
  </si>
  <si>
    <t xml:space="preserve">PM Price factor</t>
  </si>
  <si>
    <t xml:space="preserve">PM Sensitivity ARPU</t>
  </si>
  <si>
    <t xml:space="preserve">PM Local pricing burn</t>
  </si>
  <si>
    <t xml:space="preserve">PM Local pricing runway</t>
  </si>
  <si>
    <t xml:space="preserve">PM Hosted pricing burn</t>
  </si>
  <si>
    <t xml:space="preserve">PM Hosted pricing runway</t>
  </si>
  <si>
    <t xml:space="preserve">25% higher</t>
  </si>
  <si>
    <t xml:space="preserve">25% lower</t>
  </si>
  <si>
    <t xml:space="preserve">Proposed price</t>
  </si>
  <si>
    <t xml:space="preserve">PM Validation workstream cost</t>
  </si>
  <si>
    <t xml:space="preserve">CI exports and drift evidence</t>
  </si>
  <si>
    <t xml:space="preserve">Limited pilot support</t>
  </si>
  <si>
    <t xml:space="preserve">Preregistered fresh evaluation</t>
  </si>
  <si>
    <t xml:space="preserve">Second contract and provider</t>
  </si>
  <si>
    <t xml:space="preserve">Security and recovery review</t>
  </si>
  <si>
    <t xml:space="preserve">Wrapper interviews</t>
  </si>
  <si>
    <t xml:space="preserve">PM Tier economics</t>
  </si>
  <si>
    <t xml:space="preserve">PM Offer price</t>
  </si>
  <si>
    <t xml:space="preserve">PM Offer included repairs</t>
  </si>
  <si>
    <t xml:space="preserve">PM Offer inference baseline</t>
  </si>
  <si>
    <t xml:space="preserve">PM Offer inference expensive</t>
  </si>
  <si>
    <t xml:space="preserve">PM Offer uncapped inference baseline</t>
  </si>
  <si>
    <t xml:space="preserve">PM Offer uncapped inference severe</t>
  </si>
  <si>
    <t xml:space="preserve">PM Local offer support</t>
  </si>
  <si>
    <t xml:space="preserve">PM Local offer compute</t>
  </si>
  <si>
    <t xml:space="preserve">PM Local offer baseline contribution</t>
  </si>
  <si>
    <t xml:space="preserve">PM Local offer severe contribution</t>
  </si>
  <si>
    <t xml:space="preserve">PM Hosted offer support</t>
  </si>
  <si>
    <t xml:space="preserve">PM Hosted offer compute</t>
  </si>
  <si>
    <t xml:space="preserve">PM Hosted offer baseline contribution</t>
  </si>
  <si>
    <t xml:space="preserve">PM Hosted offer severe contribution</t>
  </si>
  <si>
    <t xml:space="preserve">Individual</t>
  </si>
  <si>
    <t xml:space="preserve">Team</t>
  </si>
  <si>
    <t xml:space="preserve">PM 12-month cash projection</t>
  </si>
  <si>
    <t xml:space="preserve">2026-10</t>
  </si>
  <si>
    <t xml:space="preserve">2026-10 &gt; Parity Medic · 100 customers</t>
  </si>
  <si>
    <t xml:space="preserve">2026-10 &gt; Parity Medic · 500 customers</t>
  </si>
  <si>
    <t xml:space="preserve">2026-11</t>
  </si>
  <si>
    <t xml:space="preserve">2026-11 &gt; Parity Medic · 100 customers</t>
  </si>
  <si>
    <t xml:space="preserve">2026-11 &gt; Parity Medic · 500 customers</t>
  </si>
  <si>
    <t xml:space="preserve">2026-12</t>
  </si>
  <si>
    <t xml:space="preserve">2026-12 &gt; Parity Medic · 100 customers</t>
  </si>
  <si>
    <t xml:space="preserve">2026-12 &gt; Parity Medic · 500 customers</t>
  </si>
  <si>
    <t xml:space="preserve">2027-01</t>
  </si>
  <si>
    <t xml:space="preserve">2027-01 &gt; Parity Medic · 100 customers</t>
  </si>
  <si>
    <t xml:space="preserve">2027-01 &gt; Parity Medic · 500 customers</t>
  </si>
  <si>
    <t xml:space="preserve">2027-02</t>
  </si>
  <si>
    <t xml:space="preserve">2027-02 &gt; Parity Medic · 100 customers</t>
  </si>
  <si>
    <t xml:space="preserve">2027-02 &gt; Parity Medic · 500 customers</t>
  </si>
  <si>
    <t xml:space="preserve">2027-03</t>
  </si>
  <si>
    <t xml:space="preserve">2027-03 &gt; Parity Medic · 100 customers</t>
  </si>
  <si>
    <t xml:space="preserve">2027-03 &gt; Parity Medic · 500 customers</t>
  </si>
  <si>
    <t xml:space="preserve">2027-04</t>
  </si>
  <si>
    <t xml:space="preserve">2027-04 &gt; Parity Medic · 100 customers</t>
  </si>
  <si>
    <t xml:space="preserve">2027-04 &gt; Parity Medic · 500 customers</t>
  </si>
  <si>
    <t xml:space="preserve">2027-05</t>
  </si>
  <si>
    <t xml:space="preserve">2027-05 &gt; Parity Medic · 100 customers</t>
  </si>
  <si>
    <t xml:space="preserve">2027-05 &gt; Parity Medic · 500 customers</t>
  </si>
  <si>
    <t xml:space="preserve">2027-06</t>
  </si>
  <si>
    <t xml:space="preserve">2027-06 &gt; Parity Medic · 100 customers</t>
  </si>
  <si>
    <t xml:space="preserve">2027-06 &gt; Parity Medic · 500 customers</t>
  </si>
  <si>
    <t xml:space="preserve">2027-07</t>
  </si>
  <si>
    <t xml:space="preserve">2027-07 &gt; Parity Medic · 100 customers</t>
  </si>
  <si>
    <t xml:space="preserve">2027-07 &gt; Parity Medic · 500 customers</t>
  </si>
  <si>
    <t xml:space="preserve">2027-08</t>
  </si>
  <si>
    <t xml:space="preserve">2027-08 &gt; Parity Medic · 100 customers</t>
  </si>
  <si>
    <t xml:space="preserve">2027-08 &gt; Parity Medic · 500 customers</t>
  </si>
  <si>
    <t xml:space="preserve">2027-09</t>
  </si>
  <si>
    <t xml:space="preserve">2027-09 &gt; Parity Medic · 100 customers</t>
  </si>
  <si>
    <t xml:space="preserve">2027-09 &gt; Parity Medic · 500 customers</t>
  </si>
  <si>
    <t xml:space="preserve">PM Local projected cash</t>
  </si>
  <si>
    <t xml:space="preserve">PM Hosted projected cash</t>
  </si>
  <si>
    <t xml:space="preserve">PM Tax reserve assumption</t>
  </si>
  <si>
    <t xml:space="preserve">PM Hypothetical income tax reserve rate</t>
  </si>
  <si>
    <t xml:space="preserve">PM Tax reserve calculation</t>
  </si>
  <si>
    <t xml:space="preserve">PM Local pre-tax monthly cash cost</t>
  </si>
  <si>
    <t xml:space="preserve">PM Local monthly tax reserve</t>
  </si>
  <si>
    <t xml:space="preserve">PM Hosted pre-tax monthly cash cost</t>
  </si>
  <si>
    <t xml:space="preserve">PM Hosted monthly tax reserve</t>
  </si>
  <si>
    <t xml:space="preserve">Model inputs</t>
  </si>
  <si>
    <t xml:space="preserve">Integration values are aggregated snapshots; raw source records are not included.</t>
  </si>
  <si>
    <t xml:space="preserve">Variables</t>
  </si>
  <si>
    <t xml:space="preserve">Variable / segment</t>
  </si>
  <si>
    <t xml:space="preserve">2026-09</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</si>
  <si>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</si>
  <si>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</si>
  <si>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</si>
  <si>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</si>
  <si>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</si>
  <si>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</si>
  <si>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</si>
  <si>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</si>
  <si>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PM Customers · PM Monthly economics · Main Scenario</t>
  </si>
  <si>
    <t xml:space="preserve">PM Customers · PM Monthly economics · Parity Medic · 100 customers</t>
  </si>
  <si>
    <t xml:space="preserve">PM Customers · PM Monthly economics · Parity Medic · 500 customers</t>
  </si>
  <si>
    <t xml:space="preserve">PM Founder fair monthly compensation · Parity Medic · 100 customers</t>
  </si>
  <si>
    <t xml:space="preserve">PM Founder fair monthly compensation · Parity Medic · 500 customers</t>
  </si>
  <si>
    <t xml:space="preserve">PM Hosted administration · PM Monthly economics · Main Scenario</t>
  </si>
  <si>
    <t xml:space="preserve">PM Hosted administration · Parity Medic · 100 customers</t>
  </si>
  <si>
    <t xml:space="preserve">PM Hosted administration · Parity Medic · 500 customers</t>
  </si>
  <si>
    <t xml:space="preserve">PM Hosted fixed delivery · PM Monthly economics · Main Scenario</t>
  </si>
  <si>
    <t xml:space="preserve">PM Hosted fixed delivery · Parity Medic · 100 customers</t>
  </si>
  <si>
    <t xml:space="preserve">PM Hosted fixed delivery · Parity Medic · 500 customers</t>
  </si>
  <si>
    <t xml:space="preserve">PM Hosted founder cash stipend · PM Monthly economics · Main Scenario</t>
  </si>
  <si>
    <t xml:space="preserve">PM Hosted founder cash stipend · Parity Medic · 100 customers</t>
  </si>
  <si>
    <t xml:space="preserve">PM Hosted founder cash stipend · Parity Medic · 500 customers</t>
  </si>
  <si>
    <t xml:space="preserve">PM Hosted growth experiments · PM Monthly economics · Main Scenario</t>
  </si>
  <si>
    <t xml:space="preserve">PM Hosted growth experiments · Parity Medic · 100 customers</t>
  </si>
  <si>
    <t xml:space="preserve">PM Hosted growth experiments · Parity Medic · 500 customers</t>
  </si>
  <si>
    <t xml:space="preserve">PM Hosted individual compute storage · PM Monthly economics · Main Scenario</t>
  </si>
  <si>
    <t xml:space="preserve">PM Hosted individual compute storage · Parity Medic · 100 customers</t>
  </si>
  <si>
    <t xml:space="preserve">PM Hosted individual compute storage · Parity Medic · 500 customers</t>
  </si>
  <si>
    <t xml:space="preserve">PM Hosted individual support hours · PM Monthly economics · Main Scenario</t>
  </si>
  <si>
    <t xml:space="preserve">PM Hosted individual support hours · Parity Medic · 100 customers</t>
  </si>
  <si>
    <t xml:space="preserve">PM Hosted individual support hours · Parity Medic · 500 customers</t>
  </si>
  <si>
    <t xml:space="preserve">PM Hosted legal security reserve · PM Monthly economics · Main Scenario</t>
  </si>
  <si>
    <t xml:space="preserve">PM Hosted legal security reserve · Parity Medic · 100 customers</t>
  </si>
  <si>
    <t xml:space="preserve">PM Hosted legal security reserve · Parity Medic · 500 customers</t>
  </si>
  <si>
    <t xml:space="preserve">PM Hosted monthly tax reserve · PM Monthly economics · Main Scenario</t>
  </si>
  <si>
    <t xml:space="preserve">PM Hosted monthly tax reserve · PM Monthly economics · Parity Medic · 100 customers</t>
  </si>
  <si>
    <t xml:space="preserve">PM Hosted monthly tax reserve · PM Monthly economics · Parity Medic · 500 customers</t>
  </si>
  <si>
    <t xml:space="preserve">PM Hosted net monthly burn · PM Monthly economics · Main Scenario</t>
  </si>
  <si>
    <t xml:space="preserve">PM Hosted net monthly burn · PM 12-month cash projection · Main Scenario</t>
  </si>
  <si>
    <t xml:space="preserve">PM Hosted net monthly burn · PM Monthly economics · Parity Medic · 100 customers</t>
  </si>
  <si>
    <t xml:space="preserve">PM Hosted net monthly burn · PM 12-month cash projection · Parity Medic · 100 customers</t>
  </si>
  <si>
    <t xml:space="preserve">PM Hosted net monthly burn · PM Monthly economics · Parity Medic · 500 customers</t>
  </si>
  <si>
    <t xml:space="preserve">PM Hosted net monthly burn · PM 12-month cash projection · Parity Medic · 500 customers</t>
  </si>
  <si>
    <t xml:space="preserve">PM Hosted pre-tax monthly cash cost · PM Monthly economics · Main Scenario</t>
  </si>
  <si>
    <t xml:space="preserve">PM Hosted pre-tax monthly cash cost · PM Monthly economics · Parity Medic · 100 customers</t>
  </si>
  <si>
    <t xml:space="preserve">PM Hosted pre-tax monthly cash cost · PM Monthly economics · Parity Medic · 500 customers</t>
  </si>
  <si>
    <t xml:space="preserve">PM Hosted projected cash · Main Scenario</t>
  </si>
  <si>
    <t xml:space="preserve">PM Hosted projected cash · Parity Medic · 100 customers</t>
  </si>
  <si>
    <t xml:space="preserve">PM Hosted projected cash · Parity Medic · 500 customers</t>
  </si>
  <si>
    <t xml:space="preserve">PM Hosted replacement CAC · PM Monthly economics · Main Scenario</t>
  </si>
  <si>
    <t xml:space="preserve">PM Hosted replacement CAC · Parity Medic · 100 customers</t>
  </si>
  <si>
    <t xml:space="preserve">PM Hosted replacement CAC · Parity Medic · 500 customers</t>
  </si>
  <si>
    <t xml:space="preserve">PM Hosted software · PM Monthly economics · Main Scenario</t>
  </si>
  <si>
    <t xml:space="preserve">PM Hosted software · Parity Medic · 100 customers</t>
  </si>
  <si>
    <t xml:space="preserve">PM Hosted software · Parity Medic · 500 customers</t>
  </si>
  <si>
    <t xml:space="preserve">PM Hosted team compute storage · PM Monthly economics · Main Scenario</t>
  </si>
  <si>
    <t xml:space="preserve">PM Hosted team compute storage · Parity Medic · 100 customers</t>
  </si>
  <si>
    <t xml:space="preserve">PM Hosted team compute storage · Parity Medic · 500 customers</t>
  </si>
  <si>
    <t xml:space="preserve">PM Hosted team support hours · PM Monthly economics · Main Scenario</t>
  </si>
  <si>
    <t xml:space="preserve">PM Hosted team support hours · Parity Medic · 100 customers</t>
  </si>
  <si>
    <t xml:space="preserve">PM Hosted team support hours · Parity Medic · 500 customers</t>
  </si>
  <si>
    <t xml:space="preserve">PM Individual price · PM Monthly economics · Main Scenario</t>
  </si>
  <si>
    <t xml:space="preserve">PM Individual price · PM Monthly economics · Parity Medic · 100 customers</t>
  </si>
  <si>
    <t xml:space="preserve">PM Individual price · PM Monthly economics · Parity Medic · 500 customers</t>
  </si>
  <si>
    <t xml:space="preserve">PM Individual repair cap · PM Monthly economics · Main Scenario</t>
  </si>
  <si>
    <t xml:space="preserve">PM Individual repair cap · Parity Medic · 100 customers</t>
  </si>
  <si>
    <t xml:space="preserve">PM Individual repair cap · Parity Medic · 500 customers</t>
  </si>
  <si>
    <t xml:space="preserve">PM Local administration · PM Monthly economics · Main Scenario</t>
  </si>
  <si>
    <t xml:space="preserve">PM Local administration · Parity Medic · 100 customers</t>
  </si>
  <si>
    <t xml:space="preserve">PM Local administration · Parity Medic · 500 customers</t>
  </si>
  <si>
    <t xml:space="preserve">PM Local fixed delivery · PM Monthly economics · Main Scenario</t>
  </si>
  <si>
    <t xml:space="preserve">PM Local fixed delivery · Parity Medic · 100 customers</t>
  </si>
  <si>
    <t xml:space="preserve">PM Local fixed delivery · Parity Medic · 500 customers</t>
  </si>
  <si>
    <t xml:space="preserve">PM Local founder cash stipend · PM Monthly economics · Main Scenario</t>
  </si>
  <si>
    <t xml:space="preserve">PM Local founder cash stipend · Parity Medic · 100 customers</t>
  </si>
  <si>
    <t xml:space="preserve">PM Local founder cash stipend · Parity Medic · 500 customers</t>
  </si>
  <si>
    <t xml:space="preserve">PM Local growth experiments · PM Monthly economics · Main Scenario</t>
  </si>
  <si>
    <t xml:space="preserve">PM Local growth experiments · Parity Medic · 100 customers</t>
  </si>
  <si>
    <t xml:space="preserve">PM Local growth experiments · Parity Medic · 500 customers</t>
  </si>
  <si>
    <t xml:space="preserve">PM Local individual compute storage · PM Monthly economics · Main Scenario</t>
  </si>
  <si>
    <t xml:space="preserve">PM Local individual compute storage · Parity Medic · 100 customers</t>
  </si>
  <si>
    <t xml:space="preserve">PM Local individual compute storage · Parity Medic · 500 customers</t>
  </si>
  <si>
    <t xml:space="preserve">PM Local individual support hours · PM Monthly economics · Main Scenario</t>
  </si>
  <si>
    <t xml:space="preserve">PM Local individual support hours · Parity Medic · 100 customers</t>
  </si>
  <si>
    <t xml:space="preserve">PM Local individual support hours · Parity Medic · 500 customers</t>
  </si>
  <si>
    <t xml:space="preserve">PM Local legal security reserve · PM Monthly economics · Main Scenario</t>
  </si>
  <si>
    <t xml:space="preserve">PM Local legal security reserve · Parity Medic · 100 customers</t>
  </si>
  <si>
    <t xml:space="preserve">PM Local legal security reserve · Parity Medic · 500 customers</t>
  </si>
  <si>
    <t xml:space="preserve">PM Local monthly tax reserve · PM Monthly economics · Main Scenario</t>
  </si>
  <si>
    <t xml:space="preserve">PM Local monthly tax reserve · PM Monthly economics · Parity Medic · 100 customers</t>
  </si>
  <si>
    <t xml:space="preserve">PM Local monthly tax reserve · PM Monthly economics · Parity Medic · 500 customers</t>
  </si>
  <si>
    <t xml:space="preserve">PM Local net monthly burn · PM Monthly economics · Main Scenario</t>
  </si>
  <si>
    <t xml:space="preserve">PM Local net monthly burn · PM 12-month cash projection · Main Scenario</t>
  </si>
  <si>
    <t xml:space="preserve">PM Local net monthly burn · PM Monthly economics · Parity Medic · 100 customers</t>
  </si>
  <si>
    <t xml:space="preserve">PM Local net monthly burn · PM 12-month cash projection · Parity Medic · 100 customers</t>
  </si>
  <si>
    <t xml:space="preserve">PM Local net monthly burn · PM Monthly economics · Parity Medic · 500 customers</t>
  </si>
  <si>
    <t xml:space="preserve">PM Local net monthly burn · PM 12-month cash projection · Parity Medic · 500 customers</t>
  </si>
  <si>
    <t xml:space="preserve">PM Local pre-tax monthly cash cost · PM Monthly economics · Main Scenario</t>
  </si>
  <si>
    <t xml:space="preserve">PM Local pre-tax monthly cash cost · PM Monthly economics · Parity Medic · 100 customers</t>
  </si>
  <si>
    <t xml:space="preserve">PM Local pre-tax monthly cash cost · PM Monthly economics · Parity Medic · 500 customers</t>
  </si>
  <si>
    <t xml:space="preserve">PM Local projected cash · Main Scenario</t>
  </si>
  <si>
    <t xml:space="preserve">PM Local projected cash · Parity Medic · 100 customers</t>
  </si>
  <si>
    <t xml:space="preserve">PM Local projected cash · Parity Medic · 500 customers</t>
  </si>
  <si>
    <t xml:space="preserve">PM Local replacement CAC · PM Monthly economics · Main Scenario</t>
  </si>
  <si>
    <t xml:space="preserve">PM Local replacement CAC · Parity Medic · 100 customers</t>
  </si>
  <si>
    <t xml:space="preserve">PM Local replacement CAC · Parity Medic · 500 customers</t>
  </si>
  <si>
    <t xml:space="preserve">PM Local software · PM Monthly economics · Main Scenario</t>
  </si>
  <si>
    <t xml:space="preserve">PM Local software · Parity Medic · 100 customers</t>
  </si>
  <si>
    <t xml:space="preserve">PM Local software · Parity Medic · 500 customers</t>
  </si>
  <si>
    <t xml:space="preserve">PM Local team compute storage · PM Monthly economics · Main Scenario</t>
  </si>
  <si>
    <t xml:space="preserve">PM Local team compute storage · Parity Medic · 100 customers</t>
  </si>
  <si>
    <t xml:space="preserve">PM Local team compute storage · Parity Medic · 500 customers</t>
  </si>
  <si>
    <t xml:space="preserve">PM Local team support hours · PM Monthly economics · Main Scenario</t>
  </si>
  <si>
    <t xml:space="preserve">PM Local team support hours · Parity Medic · 100 customers</t>
  </si>
  <si>
    <t xml:space="preserve">PM Local team support hours · Parity Medic · 500 customers</t>
  </si>
  <si>
    <t xml:space="preserve">PM Monthly churn · PM Monthly economics · Main Scenario</t>
  </si>
  <si>
    <t xml:space="preserve">PM Monthly churn · Parity Medic · 100 customers</t>
  </si>
  <si>
    <t xml:space="preserve">PM Monthly churn · Parity Medic · 500 customers</t>
  </si>
  <si>
    <t xml:space="preserve">PM Payment fee · PM Monthly economics · Main Scenario</t>
  </si>
  <si>
    <t xml:space="preserve">PM Payment fee · Parity Medic · 100 customers</t>
  </si>
  <si>
    <t xml:space="preserve">PM Payment fee · Parity Medic · 500 customers</t>
  </si>
  <si>
    <t xml:space="preserve">PM Payment percent · PM Monthly economics · Main Scenario</t>
  </si>
  <si>
    <t xml:space="preserve">PM Payment percent · Parity Medic · 100 customers</t>
  </si>
  <si>
    <t xml:space="preserve">PM Payment percent · Parity Medic · 500 customers</t>
  </si>
  <si>
    <t xml:space="preserve">PM Repair cost · PM Monthly economics · Main Scenario</t>
  </si>
  <si>
    <t xml:space="preserve">PM Repair cost · Parity Medic · 100 customers</t>
  </si>
  <si>
    <t xml:space="preserve">PM Repair cost · Parity Medic · 500 customers</t>
  </si>
  <si>
    <t xml:space="preserve">PM Starting cash hypothetical · PM Monthly economics · Main Scenario</t>
  </si>
  <si>
    <t xml:space="preserve">PM Starting cash hypothetical · PM 12-month cash projection · Main Scenario</t>
  </si>
  <si>
    <t xml:space="preserve">PM Starting cash hypothetical · PM Monthly economics · Parity Medic · 100 customers</t>
  </si>
  <si>
    <t xml:space="preserve">PM Starting cash hypothetical · PM 12-month cash projection · Parity Medic · 100 customers</t>
  </si>
  <si>
    <t xml:space="preserve">PM Starting cash hypothetical · PM Monthly economics · Parity Medic · 500 customers</t>
  </si>
  <si>
    <t xml:space="preserve">PM Starting cash hypothetical · PM 12-month cash projection · Parity Medic · 500 customers</t>
  </si>
  <si>
    <t xml:space="preserve">PM Support hourly cost · PM Monthly economics · Main Scenario</t>
  </si>
  <si>
    <t xml:space="preserve">PM Support hourly cost · Parity Medic · 100 customers</t>
  </si>
  <si>
    <t xml:space="preserve">PM Support hourly cost · Parity Medic · 500 customers</t>
  </si>
  <si>
    <t xml:space="preserve">PM Team price · PM Monthly economics · Main Scenario</t>
  </si>
  <si>
    <t xml:space="preserve">PM Team price · PM Monthly economics · Parity Medic · 100 customers</t>
  </si>
  <si>
    <t xml:space="preserve">PM Team price · PM Monthly economics · Parity Medic · 500 customers</t>
  </si>
  <si>
    <t xml:space="preserve">PM Team repair cap · PM Monthly economics · Main Scenario</t>
  </si>
  <si>
    <t xml:space="preserve">PM Team repair cap · Parity Medic · 100 customers</t>
  </si>
  <si>
    <t xml:space="preserve">PM Team repair cap · Parity Medic · 500 customers</t>
  </si>
  <si>
    <t xml:space="preserve">PM Team share · PM Monthly economics · Main Scenario</t>
  </si>
  <si>
    <t xml:space="preserve">PM Team share · PM Monthly economics · Parity Medic · 100 customers</t>
  </si>
  <si>
    <t xml:space="preserve">PM Team share · PM Monthly economics · Parity Medic · 500 customers</t>
  </si>
  <si>
    <t xml:space="preserve">PM Validation budget · PM Monthly economics · Main Scenario</t>
  </si>
  <si>
    <t xml:space="preserve">PM Validation budget · PM 12-month cash projection · Main Scenario</t>
  </si>
  <si>
    <t xml:space="preserve">PM Validation budget · PM Monthly economics · Parity Medic · 100 customers</t>
  </si>
  <si>
    <t xml:space="preserve">PM Validation budget · PM 12-month cash projection · Parity Medic · 100 customers</t>
  </si>
  <si>
    <t xml:space="preserve">PM Validation budget · PM Monthly economics · Parity Medic · 500 customers</t>
  </si>
  <si>
    <t xml:space="preserve">PM Validation budget · PM 12-month cash projection · Parity Medic · 500 customers</t>
  </si>
  <si>
    <t xml:space="preserve">PM Hosted total monthly cash cost · PM Monthly economics · Main Scenario</t>
  </si>
  <si>
    <t xml:space="preserve">PM Hosted total monthly cash cost · PM Monthly economics · Parity Medic · 100 customers</t>
  </si>
  <si>
    <t xml:space="preserve">PM Hosted total monthly cash cost · PM Monthly economics · Parity Medic · 500 customers</t>
  </si>
  <si>
    <t xml:space="preserve">PM Local total monthly cash cost · PM Monthly economics · Main Scenario</t>
  </si>
  <si>
    <t xml:space="preserve">PM Local total monthly cash cost · PM Monthly economics · Parity Medic · 100 customers</t>
  </si>
  <si>
    <t xml:space="preserve">PM Local total monthly cash cost · PM Monthly economics · Parity Medic · 500 customers</t>
  </si>
  <si>
    <t xml:space="preserve">PM MRR · PM Monthly economics · Main Scenario</t>
  </si>
  <si>
    <t xml:space="preserve">PM MRR · PM Monthly economics · Parity Medic · 100 customers</t>
  </si>
  <si>
    <t xml:space="preserve">PM MRR · PM Monthly economics · Parity Medic · 500 customers</t>
  </si>
  <si>
    <t xml:space="preserve">PM Validation workstream cost &gt; CI exports and drift evidence</t>
  </si>
  <si>
    <t xml:space="preserve">PM Validation workstream cost &gt; Limited pilot support</t>
  </si>
  <si>
    <t xml:space="preserve">PM Validation workstream cost &gt; Preregistered fresh evaluation</t>
  </si>
  <si>
    <t xml:space="preserve">PM Validation workstream cost &gt; Second contract and provider</t>
  </si>
  <si>
    <t xml:space="preserve">PM Validation workstream cost &gt; Security and recovery review</t>
  </si>
  <si>
    <t xml:space="preserve">PM Validation workstream cost &gt; Wrapper interviews</t>
  </si>
  <si>
    <t xml:space="preserve">PM ARPU · PM Monthly economics · Main Scenario</t>
  </si>
  <si>
    <t xml:space="preserve">PM ARPU · PM Monthly economics · Parity Medic · 100 customers</t>
  </si>
  <si>
    <t xml:space="preserve">PM ARPU · PM Monthly economics · Parity Medic · 500 customers</t>
  </si>
  <si>
    <t xml:space="preserve">PM Hosted delivery COGS · PM Monthly economics</t>
  </si>
  <si>
    <t xml:space="preserve">PM Hosted fixed operating cash · PM Monthly economics</t>
  </si>
  <si>
    <t xml:space="preserve">PM Hosted replacement acquisition · PM Repair sensitivity</t>
  </si>
  <si>
    <t xml:space="preserve">PM Hypothetical income tax reserve rate · PM Monthly economics</t>
  </si>
  <si>
    <t xml:space="preserve">PM Local delivery COGS · PM Monthly economics</t>
  </si>
  <si>
    <t xml:space="preserve">PM Local fixed operating cash · PM Monthly economics</t>
  </si>
  <si>
    <t xml:space="preserve">PM Local replacement acquisition · PM Repair sensitivity</t>
  </si>
  <si>
    <t xml:space="preserve">PM Hosted variable cost per customer · PM Monthly economics</t>
  </si>
  <si>
    <t xml:space="preserve">PM Local variable cost per customer · PM Monthly economics</t>
  </si>
  <si>
    <t xml:space="preserve">PM Replacement customers per month · PM Monthly economics</t>
  </si>
  <si>
    <t xml:space="preserve">PM Hosted compute storage per customer · PM Monthly economics</t>
  </si>
  <si>
    <t xml:space="preserve">PM Hosted support per customer · PM Monthly economics</t>
  </si>
  <si>
    <t xml:space="preserve">PM Inference per customer · PM Monthly economics</t>
  </si>
  <si>
    <t xml:space="preserve">PM Local compute storage per customer · PM Monthly economics</t>
  </si>
  <si>
    <t xml:space="preserve">PM Local support per customer · PM Monthly economics</t>
  </si>
  <si>
    <t xml:space="preserve">PM Payment per customer · PM Monthly economics</t>
  </si>
  <si>
    <t xml:space="preserve">PM Included repairs per customer · PM Monthly economics</t>
  </si>
  <si>
    <t xml:space="preserve">PM Hosted projected cash · PM Hosted projected cash · Main Scenario · Main Scenario</t>
  </si>
  <si>
    <t xml:space="preserve">PM Hosted projected cash · PM Hosted projected cash · Parity Medic · 100 customers · Parity Medic · 100 customers</t>
  </si>
  <si>
    <t xml:space="preserve">PM Hosted projected cash · PM Hosted projected cash · Parity Medic · 500 customers · Parity Medic · 500 customers</t>
  </si>
  <si>
    <t xml:space="preserve">PM Hypothetical income tax reserve rate · PM Monthly economics · Parity Medic · 100 customers</t>
  </si>
  <si>
    <t xml:space="preserve">PM Hypothetical income tax reserve rate · PM Monthly economics · Parity Medic · 500 customers</t>
  </si>
  <si>
    <t xml:space="preserve">PM Local projected cash · PM Local projected cash · Main Scenario · Main Scenario</t>
  </si>
  <si>
    <t xml:space="preserve">PM Local projected cash · PM Local projected cash · Parity Medic · 100 customers · Parity Medic · 100 customers</t>
  </si>
  <si>
    <t xml:space="preserve">PM Local projected cash · PM Local projected cash · Parity Medic · 500 customers · Parity Medic · 500 customers</t>
  </si>
  <si>
    <t xml:space="preserve">PM Hosted total monthly cash cost · PM Hosted net monthly burn · PM 12-month cash projection · Main Scenario · Main Scenario</t>
  </si>
  <si>
    <t xml:space="preserve">PM Hosted total monthly cash cost · PM Hosted net monthly burn · PM 12-month cash projection · Parity Medic · 100 customers · Parity Medic · 100 customers</t>
  </si>
  <si>
    <t xml:space="preserve">PM Hosted total monthly cash cost · PM Hosted net monthly burn · PM 12-month cash projection · Parity Medic · 500 customers · Parity Medic · 500 customers</t>
  </si>
  <si>
    <t xml:space="preserve">PM Local total monthly cash cost · PM Local net monthly burn · PM 12-month cash projection · Main Scenario · Main Scenario</t>
  </si>
  <si>
    <t xml:space="preserve">PM Local total monthly cash cost · PM Local net monthly burn · PM 12-month cash projection · Parity Medic · 100 customers · Parity Medic · 100 customers</t>
  </si>
  <si>
    <t xml:space="preserve">PM Local total monthly cash cost · PM Local net monthly burn · PM 12-month cash projection · Parity Medic · 500 customers · Parity Medic · 500 customers</t>
  </si>
  <si>
    <t xml:space="preserve">PM MRR · PM Hosted net monthly burn · PM 12-month cash projection · Main Scenario · Main Scenario</t>
  </si>
  <si>
    <t xml:space="preserve">PM MRR · PM Hosted net monthly burn · PM 12-month cash projection · Parity Medic · 100 customers · Parity Medic · 100 customers</t>
  </si>
  <si>
    <t xml:space="preserve">PM MRR · PM Hosted net monthly burn · PM 12-month cash projection · Parity Medic · 500 customers · Parity Medic · 500 customers</t>
  </si>
  <si>
    <t xml:space="preserve">PM Hosted delivery COGS · PM Monthly economics · Parity Medic · 100 customers</t>
  </si>
  <si>
    <t xml:space="preserve">PM Hosted delivery COGS · PM Monthly economics · Parity Medic · 500 customers</t>
  </si>
  <si>
    <t xml:space="preserve">PM Hosted fixed operating cash · PM Monthly economics · Parity Medic · 100 customers</t>
  </si>
  <si>
    <t xml:space="preserve">PM Hosted fixed operating cash · PM Monthly economics · Parity Medic · 500 customers</t>
  </si>
  <si>
    <t xml:space="preserve">PM Hosted replacement acquisition · PM Hosted monthly tax reserve · PM Monthly economics · Parity Medic · 100 customers · Parity Medic · 100 customers</t>
  </si>
  <si>
    <t xml:space="preserve">PM Hosted replacement acquisition · PM Hosted monthly tax reserve · PM Monthly economics · Parity Medic · 500 customers · Parity Medic · 500 customers</t>
  </si>
  <si>
    <t xml:space="preserve">PM Local delivery COGS · PM Monthly economics · Parity Medic · 100 customers</t>
  </si>
  <si>
    <t xml:space="preserve">PM Local delivery COGS · PM Monthly economics · Parity Medic · 500 customers</t>
  </si>
  <si>
    <t xml:space="preserve">PM Local fixed operating cash · PM Monthly economics · Parity Medic · 100 customers</t>
  </si>
  <si>
    <t xml:space="preserve">PM Local fixed operating cash · PM Monthly economics · Parity Medic · 500 customers</t>
  </si>
  <si>
    <t xml:space="preserve">PM Local replacement acquisition · PM Local monthly tax reserve · PM Monthly economics · Parity Medic · 100 customers · Parity Medic · 100 customers</t>
  </si>
  <si>
    <t xml:space="preserve">PM Local replacement acquisition · PM Local monthly tax reserve · PM Monthly economics · Parity Medic · 500 customers · Parity Medic · 500 customers</t>
  </si>
  <si>
    <t xml:space="preserve">PM Hosted variable cost per customer · PM Monthly economics · Parity Medic · 100 customers</t>
  </si>
  <si>
    <t xml:space="preserve">PM Hosted variable cost per customer · PM Monthly economics · Parity Medic · 500 customers</t>
  </si>
  <si>
    <t xml:space="preserve">PM Local variable cost per customer · PM Monthly economics · Parity Medic · 100 customers</t>
  </si>
  <si>
    <t xml:space="preserve">PM Local variable cost per customer · PM Monthly economics · Parity Medic · 500 customers</t>
  </si>
  <si>
    <t xml:space="preserve">PM Replacement customers per month · PM Monthly economics · Parity Medic · 100 customers</t>
  </si>
  <si>
    <t xml:space="preserve">PM Replacement customers per month · PM Monthly economics · Parity Medic · 500 customers</t>
  </si>
  <si>
    <t xml:space="preserve">PM Hosted compute storage per customer · PM Monthly economics · Parity Medic · 100 customers</t>
  </si>
  <si>
    <t xml:space="preserve">PM Hosted compute storage per customer · PM Monthly economics · Parity Medic · 500 customers</t>
  </si>
  <si>
    <t xml:space="preserve">PM Hosted support per customer · PM Monthly economics · Parity Medic · 100 customers</t>
  </si>
  <si>
    <t xml:space="preserve">PM Hosted support per customer · PM Monthly economics · Parity Medic · 500 customers</t>
  </si>
  <si>
    <t xml:space="preserve">PM Inference per customer · PM Monthly economics · Parity Medic · 100 customers</t>
  </si>
  <si>
    <t xml:space="preserve">PM Inference per customer · PM Monthly economics · Parity Medic · 500 customers</t>
  </si>
  <si>
    <t xml:space="preserve">PM Local compute storage per customer · PM Monthly economics · Parity Medic · 100 customers</t>
  </si>
  <si>
    <t xml:space="preserve">PM Local compute storage per customer · PM Monthly economics · Parity Medic · 500 customers</t>
  </si>
  <si>
    <t xml:space="preserve">PM Local support per customer · PM Monthly economics · Parity Medic · 100 customers</t>
  </si>
  <si>
    <t xml:space="preserve">PM Local support per customer · PM Monthly economics · Parity Medic · 500 customers</t>
  </si>
  <si>
    <t xml:space="preserve">PM Payment per customer · PM Monthly economics · Parity Medic · 100 customers</t>
  </si>
  <si>
    <t xml:space="preserve">PM Payment per customer · PM Monthly economics · Parity Medic · 500 customers</t>
  </si>
  <si>
    <t xml:space="preserve">PM Included repairs per customer · PM Monthly economics · Parity Medic · 100 customers</t>
  </si>
  <si>
    <t xml:space="preserve">PM Included repairs per customer · PM Monthly economics · Parity Medic · 500 customers</t>
  </si>
  <si>
    <t xml:space="preserve">PM Customers · PM Hosted net monthly burn · PM 12-month cash projection · Main Scenario · Main Scenario</t>
  </si>
  <si>
    <t xml:space="preserve">PM Customers · PM Hosted net monthly burn · PM 12-month cash projection · Parity Medic · 100 customers · Parity Medic · 100 customers</t>
  </si>
  <si>
    <t xml:space="preserve">PM Customers · PM Hosted net monthly burn · PM 12-month cash projection · Parity Medic · 500 customers · Parity Medic · 500 customers</t>
  </si>
  <si>
    <t xml:space="preserve">PM Hosted monthly tax reserve · PM Hosted net monthly burn · PM 12-month cash projection · Main Scenario · Main Scenario</t>
  </si>
  <si>
    <t xml:space="preserve">PM Hosted monthly tax reserve · PM Hosted net monthly burn · PM 12-month cash projection · Parity Medic · 100 customers · Parity Medic · 100 customers</t>
  </si>
  <si>
    <t xml:space="preserve">PM Hosted monthly tax reserve · PM Hosted net monthly burn · PM 12-month cash projection · Parity Medic · 500 customers · Parity Medic · 500 customers</t>
  </si>
  <si>
    <t xml:space="preserve">PM Hosted pre-tax monthly cash cost · PM Hosted net monthly burn · PM 12-month cash projection · Main Scenario · Main Scenario</t>
  </si>
  <si>
    <t xml:space="preserve">PM Hosted pre-tax monthly cash cost · PM Hosted net monthly burn · PM 12-month cash projection · Parity Medic · 100 customers · Parity Medic · 100 customers</t>
  </si>
  <si>
    <t xml:space="preserve">PM Hosted pre-tax monthly cash cost · PM Hosted net monthly burn · PM 12-month cash projection · Parity Medic · 500 customers · Parity Medic · 500 customers</t>
  </si>
  <si>
    <t xml:space="preserve">PM Local monthly tax reserve · PM Local net monthly burn · PM 12-month cash projection · Main Scenario · Main Scenario</t>
  </si>
  <si>
    <t xml:space="preserve">PM Local monthly tax reserve · PM Local net monthly burn · PM 12-month cash projection · Parity Medic · 100 customers · Parity Medic · 100 customers</t>
  </si>
  <si>
    <t xml:space="preserve">PM Local monthly tax reserve · PM Local net monthly burn · PM 12-month cash projection · Parity Medic · 500 customers · Parity Medic · 500 customers</t>
  </si>
  <si>
    <t xml:space="preserve">PM Local pre-tax monthly cash cost · PM Local net monthly burn · PM 12-month cash projection · Main Scenario · Main Scenario</t>
  </si>
  <si>
    <t xml:space="preserve">PM Local pre-tax monthly cash cost · PM Local net monthly burn · PM 12-month cash projection · Parity Medic · 100 customers · Parity Medic · 100 customers</t>
  </si>
  <si>
    <t xml:space="preserve">PM Local pre-tax monthly cash cost · PM Local net monthly burn · PM 12-month cash projection · Parity Medic · 500 customers · Parity Medic · 500 customers</t>
  </si>
  <si>
    <t xml:space="preserve">PM ARPU · PM Hosted net monthly burn · PM 12-month cash projection · Main Scenario · Main Scenario</t>
  </si>
  <si>
    <t xml:space="preserve">PM ARPU · PM Hosted net monthly burn · PM 12-month cash projection · Parity Medic · 100 customers · Parity Medic · 100 customers</t>
  </si>
  <si>
    <t xml:space="preserve">PM ARPU · PM Hosted net monthly burn · PM 12-month cash projection · Parity Medic · 500 customers · Parity Medic · 500 customers</t>
  </si>
  <si>
    <t xml:space="preserve">PM Individual price · PM Hosted net monthly burn · PM 12-month cash projection · Main Scenario · Main Scenario</t>
  </si>
  <si>
    <t xml:space="preserve">PM Individual price · PM Hosted net monthly burn · PM 12-month cash projection · Parity Medic · 100 customers · Parity Medic · 100 customers</t>
  </si>
  <si>
    <t xml:space="preserve">PM Individual price · PM Hosted net monthly burn · PM 12-month cash projection · Parity Medic · 500 customers · Parity Medic · 500 customers</t>
  </si>
  <si>
    <t xml:space="preserve">PM Team price · PM Hosted net monthly burn · PM 12-month cash projection · Main Scenario · Main Scenario</t>
  </si>
  <si>
    <t xml:space="preserve">PM Team price · PM Hosted net monthly burn · PM 12-month cash projection · Parity Medic · 100 customers · Parity Medic · 100 customers</t>
  </si>
  <si>
    <t xml:space="preserve">PM Team price · PM Hosted net monthly burn · PM 12-month cash projection · Parity Medic · 500 customers · Parity Medic · 500 customers</t>
  </si>
  <si>
    <t xml:space="preserve">PM Team share · PM Hosted net monthly burn · PM 12-month cash projection · Main Scenario · Main Scenario</t>
  </si>
  <si>
    <t xml:space="preserve">PM Team share · PM Hosted net monthly burn · PM 12-month cash projection · Parity Medic · 100 customers · Parity Medic · 100 customers</t>
  </si>
  <si>
    <t xml:space="preserve">PM Team share · PM Hosted net monthly burn · PM 12-month cash projection · Parity Medic · 500 customers · Parity Medic · 500 customers</t>
  </si>
  <si>
    <t xml:space="preserve">PM Hypothetical income tax reserve rate · PM Hosted net monthly burn · PM 12-month cash projection · Main Scenario · Main Scenario</t>
  </si>
  <si>
    <t xml:space="preserve">PM Hypothetical income tax reserve rate · PM Hosted net monthly burn · PM 12-month cash projection · Parity Medic · 100 customers · Parity Medic · 100 customers</t>
  </si>
  <si>
    <t xml:space="preserve">PM Hypothetical income tax reserve rate · PM Hosted net monthly burn · PM 12-month cash projection · Parity Medic · 500 customers · Parity Medic · 500 customers</t>
  </si>
  <si>
    <t xml:space="preserve">PM Hosted delivery COGS · PM Hosted net monthly burn · PM 12-month cash projection · Main Scenario · Main Scenario</t>
  </si>
  <si>
    <t xml:space="preserve">PM Hosted delivery COGS · PM Hosted net monthly burn · PM 12-month cash projection · Parity Medic · 100 customers · Parity Medic · 100 customers</t>
  </si>
  <si>
    <t xml:space="preserve">PM Hosted delivery COGS · PM Hosted net monthly burn · PM 12-month cash projection · Parity Medic · 500 customers · Parity Medic · 500 customers</t>
  </si>
  <si>
    <t xml:space="preserve">PM Hosted fixed operating cash · PM Hosted net monthly burn · PM 12-month cash projection · Main Scenario · Main Scenario</t>
  </si>
  <si>
    <t xml:space="preserve">PM Hosted fixed operating cash · PM Hosted net monthly burn · PM 12-month cash projection · Parity Medic · 100 customers · Parity Medic · 100 customers</t>
  </si>
  <si>
    <t xml:space="preserve">PM Hosted fixed operating cash · PM Hosted net monthly burn · PM 12-month cash projection · Parity Medic · 500 customers · Parity Medic · 500 customers</t>
  </si>
  <si>
    <t xml:space="preserve">PM Hosted replacement acquisition · PM Hosted net monthly burn · PM 12-month cash projection · Main Scenario · Main Scenario</t>
  </si>
  <si>
    <t xml:space="preserve">PM Hosted replacement acquisition · PM Hosted net monthly burn · PM 12-month cash projection · Parity Medic · 100 customers · Parity Medic · 100 customers</t>
  </si>
  <si>
    <t xml:space="preserve">PM Hosted replacement acquisition · PM Hosted net monthly burn · PM 12-month cash projection · Parity Medic · 500 customers · Parity Medic · 500 customers</t>
  </si>
  <si>
    <t xml:space="preserve">PM Local delivery COGS · PM Local net monthly burn · PM 12-month cash projection · Main Scenario · Main Scenario</t>
  </si>
  <si>
    <t xml:space="preserve">PM Local delivery COGS · PM Local net monthly burn · PM 12-month cash projection · Parity Medic · 100 customers · Parity Medic · 100 customers</t>
  </si>
  <si>
    <t xml:space="preserve">PM Local delivery COGS · PM Local net monthly burn · PM 12-month cash projection · Parity Medic · 500 customers · Parity Medic · 500 customers</t>
  </si>
  <si>
    <t xml:space="preserve">PM Local fixed operating cash · PM Local net monthly burn · PM 12-month cash projection · Main Scenario · Main Scenario</t>
  </si>
  <si>
    <t xml:space="preserve">PM Local fixed operating cash · PM Local net monthly burn · PM 12-month cash projection · Parity Medic · 100 customers · Parity Medic · 100 customers</t>
  </si>
  <si>
    <t xml:space="preserve">PM Local fixed operating cash · PM Local net monthly burn · PM 12-month cash projection · Parity Medic · 500 customers · Parity Medic · 500 customers</t>
  </si>
  <si>
    <t xml:space="preserve">PM Local replacement acquisition · PM Local net monthly burn · PM 12-month cash projection · Main Scenario · Main Scenario</t>
  </si>
  <si>
    <t xml:space="preserve">PM Local replacement acquisition · PM Local net monthly burn · PM 12-month cash projection · Parity Medic · 100 customers · Parity Medic · 100 customers</t>
  </si>
  <si>
    <t xml:space="preserve">PM Local replacement acquisition · PM Local net monthly burn · PM 12-month cash projection · Parity Medic · 500 customers · Parity Medic · 500 customers</t>
  </si>
  <si>
    <t xml:space="preserve">PM Hosted administration · PM Hosted net monthly burn · PM 12-month cash projection · Main Scenario · Main Scenario</t>
  </si>
  <si>
    <t xml:space="preserve">PM Hosted administration · PM Hosted net monthly burn · PM 12-month cash projection · Parity Medic · 100 customers · Parity Medic · 100 customers</t>
  </si>
  <si>
    <t xml:space="preserve">PM Hosted administration · PM Hosted net monthly burn · PM 12-month cash projection · Parity Medic · 500 customers · Parity Medic · 500 customers</t>
  </si>
  <si>
    <t xml:space="preserve">PM Hosted fixed delivery · PM Hosted net monthly burn · PM 12-month cash projection · Main Scenario · Main Scenario</t>
  </si>
  <si>
    <t xml:space="preserve">PM Hosted fixed delivery · PM Hosted net monthly burn · PM 12-month cash projection · Parity Medic · 100 customers · Parity Medic · 100 customers</t>
  </si>
  <si>
    <t xml:space="preserve">PM Hosted fixed delivery · PM Hosted net monthly burn · PM 12-month cash projection · Parity Medic · 500 customers · Parity Medic · 500 customers</t>
  </si>
  <si>
    <t xml:space="preserve">PM Hosted founder cash stipend · PM Hosted net monthly burn · PM 12-month cash projection · Main Scenario · Main Scenario</t>
  </si>
  <si>
    <t xml:space="preserve">PM Hosted founder cash stipend · PM Hosted net monthly burn · PM 12-month cash projection · Parity Medic · 100 customers · Parity Medic · 100 customers</t>
  </si>
  <si>
    <t xml:space="preserve">PM Hosted founder cash stipend · PM Hosted net monthly burn · PM 12-month cash projection · Parity Medic · 500 customers · Parity Medic · 500 customers</t>
  </si>
  <si>
    <t xml:space="preserve">PM Hosted growth experiments · PM Hosted net monthly burn · PM 12-month cash projection · Main Scenario · Main Scenario</t>
  </si>
  <si>
    <t xml:space="preserve">PM Hosted growth experiments · PM Hosted net monthly burn · PM 12-month cash projection · Parity Medic · 100 customers · Parity Medic · 100 customers</t>
  </si>
  <si>
    <t xml:space="preserve">PM Hosted growth experiments · PM Hosted net monthly burn · PM 12-month cash projection · Parity Medic · 500 customers · Parity Medic · 500 customers</t>
  </si>
  <si>
    <t xml:space="preserve">PM Hosted legal security reserve · PM Hosted net monthly burn · PM 12-month cash projection · Main Scenario · Main Scenario</t>
  </si>
  <si>
    <t xml:space="preserve">PM Hosted legal security reserve · PM Hosted net monthly burn · PM 12-month cash projection · Parity Medic · 100 customers · Parity Medic · 100 customers</t>
  </si>
  <si>
    <t xml:space="preserve">PM Hosted legal security reserve · PM Hosted net monthly burn · PM 12-month cash projection · Parity Medic · 500 customers · Parity Medic · 500 customers</t>
  </si>
  <si>
    <t xml:space="preserve">PM Hosted replacement CAC · PM Hosted net monthly burn · PM 12-month cash projection · Main Scenario · Main Scenario</t>
  </si>
  <si>
    <t xml:space="preserve">PM Hosted replacement CAC · PM Hosted net monthly burn · PM 12-month cash projection · Parity Medic · 100 customers · Parity Medic · 100 customers</t>
  </si>
  <si>
    <t xml:space="preserve">PM Hosted replacement CAC · PM Hosted net monthly burn · PM 12-month cash projection · Parity Medic · 500 customers · Parity Medic · 500 customers</t>
  </si>
  <si>
    <t xml:space="preserve">PM Hosted software · PM Hosted net monthly burn · PM 12-month cash projection · Main Scenario · Main Scenario</t>
  </si>
  <si>
    <t xml:space="preserve">PM Hosted software · PM Hosted net monthly burn · PM 12-month cash projection · Parity Medic · 100 customers · Parity Medic · 100 customers</t>
  </si>
  <si>
    <t xml:space="preserve">PM Hosted software · PM Hosted net monthly burn · PM 12-month cash projection · Parity Medic · 500 customers · Parity Medic · 500 customers</t>
  </si>
  <si>
    <t xml:space="preserve">PM Local administration · PM Local net monthly burn · PM 12-month cash projection · Main Scenario · Main Scenario</t>
  </si>
  <si>
    <t xml:space="preserve">PM Local administration · PM Local net monthly burn · PM 12-month cash projection · Parity Medic · 100 customers · Parity Medic · 100 customers</t>
  </si>
  <si>
    <t xml:space="preserve">PM Local administration · PM Local net monthly burn · PM 12-month cash projection · Parity Medic · 500 customers · Parity Medic · 500 customers</t>
  </si>
  <si>
    <t xml:space="preserve">PM Local fixed delivery · PM Local net monthly burn · PM 12-month cash projection · Main Scenario · Main Scenario</t>
  </si>
  <si>
    <t xml:space="preserve">PM Local fixed delivery · PM Local net monthly burn · PM 12-month cash projection · Parity Medic · 100 customers · Parity Medic · 100 customers</t>
  </si>
  <si>
    <t xml:space="preserve">PM Local fixed delivery · PM Local net monthly burn · PM 12-month cash projection · Parity Medic · 500 customers · Parity Medic · 500 customers</t>
  </si>
  <si>
    <t xml:space="preserve">PM Local founder cash stipend · PM Local net monthly burn · PM 12-month cash projection · Main Scenario · Main Scenario</t>
  </si>
  <si>
    <t xml:space="preserve">PM Local founder cash stipend · PM Local net monthly burn · PM 12-month cash projection · Parity Medic · 100 customers · Parity Medic · 100 customers</t>
  </si>
  <si>
    <t xml:space="preserve">PM Local founder cash stipend · PM Local net monthly burn · PM 12-month cash projection · Parity Medic · 500 customers · Parity Medic · 500 customers</t>
  </si>
  <si>
    <t xml:space="preserve">PM Local growth experiments · PM Local net monthly burn · PM 12-month cash projection · Main Scenario · Main Scenario</t>
  </si>
  <si>
    <t xml:space="preserve">PM Local growth experiments · PM Local net monthly burn · PM 12-month cash projection · Parity Medic · 100 customers · Parity Medic · 100 customers</t>
  </si>
  <si>
    <t xml:space="preserve">PM Local growth experiments · PM Local net monthly burn · PM 12-month cash projection · Parity Medic · 500 customers · Parity Medic · 500 customers</t>
  </si>
  <si>
    <t xml:space="preserve">PM Local legal security reserve · PM Local net monthly burn · PM 12-month cash projection · Main Scenario · Main Scenario</t>
  </si>
  <si>
    <t xml:space="preserve">PM Local legal security reserve · PM Local net monthly burn · PM 12-month cash projection · Parity Medic · 100 customers · Parity Medic · 100 customers</t>
  </si>
  <si>
    <t xml:space="preserve">PM Local legal security reserve · PM Local net monthly burn · PM 12-month cash projection · Parity Medic · 500 customers · Parity Medic · 500 customers</t>
  </si>
  <si>
    <t xml:space="preserve">PM Local replacement CAC · PM Local net monthly burn · PM 12-month cash projection · Main Scenario · Main Scenario</t>
  </si>
  <si>
    <t xml:space="preserve">PM Local replacement CAC · PM Local net monthly burn · PM 12-month cash projection · Parity Medic · 100 customers · Parity Medic · 100 customers</t>
  </si>
  <si>
    <t xml:space="preserve">PM Local replacement CAC · PM Local net monthly burn · PM 12-month cash projection · Parity Medic · 500 customers · Parity Medic · 500 customers</t>
  </si>
  <si>
    <t xml:space="preserve">PM Local software · PM Local net monthly burn · PM 12-month cash projection · Main Scenario · Main Scenario</t>
  </si>
  <si>
    <t xml:space="preserve">PM Local software · PM Local net monthly burn · PM 12-month cash projection · Parity Medic · 100 customers · Parity Medic · 100 customers</t>
  </si>
  <si>
    <t xml:space="preserve">PM Local software · PM Local net monthly burn · PM 12-month cash projection · Parity Medic · 500 customers · Parity Medic · 500 customers</t>
  </si>
  <si>
    <t xml:space="preserve">PM Hosted variable cost per customer · PM Hosted net monthly burn · PM 12-month cash projection · Main Scenario · Main Scenario</t>
  </si>
  <si>
    <t xml:space="preserve">PM Hosted variable cost per customer · PM Hosted net monthly burn · PM 12-month cash projection · Parity Medic · 100 customers · Parity Medic · 100 customers</t>
  </si>
  <si>
    <t xml:space="preserve">PM Hosted variable cost per customer · PM Hosted net monthly burn · PM 12-month cash projection · Parity Medic · 500 customers · Parity Medic · 500 customers</t>
  </si>
  <si>
    <t xml:space="preserve">PM Local variable cost per customer · PM Local net monthly burn · PM 12-month cash projection · Main Scenario · Main Scenario</t>
  </si>
  <si>
    <t xml:space="preserve">PM Local variable cost per customer · PM Local net monthly burn · PM 12-month cash projection · Parity Medic · 100 customers · Parity Medic · 100 customers</t>
  </si>
  <si>
    <t xml:space="preserve">PM Local variable cost per customer · PM Local net monthly burn · PM 12-month cash projection · Parity Medic · 500 customers · Parity Medic · 500 customers</t>
  </si>
  <si>
    <t xml:space="preserve">PM Replacement customers per month · PM Hosted net monthly burn · PM 12-month cash projection · Main Scenario · Main Scenario</t>
  </si>
  <si>
    <t xml:space="preserve">PM Replacement customers per month · PM Hosted net monthly burn · PM 12-month cash projection · Parity Medic · 100 customers · Parity Medic · 100 customers</t>
  </si>
  <si>
    <t xml:space="preserve">PM Replacement customers per month · PM Hosted net monthly burn · PM 12-month cash projection · Parity Medic · 500 customers · Parity Medic · 500 customers</t>
  </si>
  <si>
    <t xml:space="preserve">PM Monthly churn · PM Hosted net monthly burn · PM 12-month cash projection · Main Scenario · Main Scenario</t>
  </si>
  <si>
    <t xml:space="preserve">PM Monthly churn · PM Hosted net monthly burn · PM 12-month cash projection · Parity Medic · 100 customers · Parity Medic · 100 customers</t>
  </si>
  <si>
    <t xml:space="preserve">PM Monthly churn · PM Hosted net monthly burn · PM 12-month cash projection · Parity Medic · 500 customers · Parity Medic · 500 customers</t>
  </si>
  <si>
    <t xml:space="preserve">PM Hosted compute storage per customer · PM Hosted net monthly burn · PM 12-month cash projection · Main Scenario · Main Scenario</t>
  </si>
  <si>
    <t xml:space="preserve">PM Hosted compute storage per customer · PM Hosted net monthly burn · PM 12-month cash projection · Parity Medic · 100 customers · Parity Medic · 100 customers</t>
  </si>
  <si>
    <t xml:space="preserve">PM Hosted compute storage per customer · PM Hosted net monthly burn · PM 12-month cash projection · Parity Medic · 500 customers · Parity Medic · 500 customers</t>
  </si>
  <si>
    <t xml:space="preserve">PM Hosted support per customer · PM Hosted net monthly burn · PM 12-month cash projection · Main Scenario · Main Scenario</t>
  </si>
  <si>
    <t xml:space="preserve">PM Hosted support per customer · PM Hosted net monthly burn · PM 12-month cash projection · Parity Medic · 100 customers · Parity Medic · 100 customers</t>
  </si>
  <si>
    <t xml:space="preserve">PM Hosted support per customer · PM Hosted net monthly burn · PM 12-month cash projection · Parity Medic · 500 customers · Parity Medic · 500 customers</t>
  </si>
  <si>
    <t xml:space="preserve">PM Inference per customer · PM Hosted net monthly burn · PM 12-month cash projection · Main Scenario · Main Scenario</t>
  </si>
  <si>
    <t xml:space="preserve">PM Inference per customer · PM Hosted net monthly burn · PM 12-month cash projection · Parity Medic · 100 customers · Parity Medic · 100 customers</t>
  </si>
  <si>
    <t xml:space="preserve">PM Inference per customer · PM Hosted net monthly burn · PM 12-month cash projection · Parity Medic · 500 customers · Parity Medic · 500 customers</t>
  </si>
  <si>
    <t xml:space="preserve">PM Local compute storage per customer · PM Local net monthly burn · PM 12-month cash projection · Main Scenario · Main Scenario</t>
  </si>
  <si>
    <t xml:space="preserve">PM Local compute storage per customer · PM Local net monthly burn · PM 12-month cash projection · Parity Medic · 100 customers · Parity Medic · 100 customers</t>
  </si>
  <si>
    <t xml:space="preserve">PM Local compute storage per customer · PM Local net monthly burn · PM 12-month cash projection · Parity Medic · 500 customers · Parity Medic · 500 customers</t>
  </si>
  <si>
    <t xml:space="preserve">PM Local support per customer · PM Local net monthly burn · PM 12-month cash projection · Main Scenario · Main Scenario</t>
  </si>
  <si>
    <t xml:space="preserve">PM Local support per customer · PM Local net monthly burn · PM 12-month cash projection · Parity Medic · 100 customers · Parity Medic · 100 customers</t>
  </si>
  <si>
    <t xml:space="preserve">PM Local support per customer · PM Local net monthly burn · PM 12-month cash projection · Parity Medic · 500 customers · Parity Medic · 500 customers</t>
  </si>
  <si>
    <t xml:space="preserve">PM Payment per customer · PM Hosted net monthly burn · PM 12-month cash projection · Main Scenario · Main Scenario</t>
  </si>
  <si>
    <t xml:space="preserve">PM Payment per customer · PM Hosted net monthly burn · PM 12-month cash projection · Parity Medic · 100 customers · Parity Medic · 100 customers</t>
  </si>
  <si>
    <t xml:space="preserve">PM Payment per customer · PM Hosted net monthly burn · PM 12-month cash projection · Parity Medic · 500 customers · Parity Medic · 500 customers</t>
  </si>
  <si>
    <t xml:space="preserve">PM Hosted individual compute storage · PM Hosted net monthly burn · PM 12-month cash projection · Main Scenario · Main Scenario</t>
  </si>
  <si>
    <t xml:space="preserve">PM Hosted individual compute storage · PM Hosted net monthly burn · PM 12-month cash projection · Parity Medic · 100 customers · Parity Medic · 100 customers</t>
  </si>
  <si>
    <t xml:space="preserve">PM Hosted individual compute storage · PM Hosted net monthly burn · PM 12-month cash projection · Parity Medic · 500 customers · Parity Medic · 500 customers</t>
  </si>
  <si>
    <t xml:space="preserve">PM Hosted individual support hours · PM Hosted net monthly burn · PM 12-month cash projection · Main Scenario · Main Scenario</t>
  </si>
  <si>
    <t xml:space="preserve">PM Hosted individual support hours · PM Hosted net monthly burn · PM 12-month cash projection · Parity Medic · 100 customers · Parity Medic · 100 customers</t>
  </si>
  <si>
    <t xml:space="preserve">PM Hosted individual support hours · PM Hosted net monthly burn · PM 12-month cash projection · Parity Medic · 500 customers · Parity Medic · 500 customers</t>
  </si>
  <si>
    <t xml:space="preserve">PM Hosted team compute storage · PM Hosted net monthly burn · PM 12-month cash projection · Main Scenario · Main Scenario</t>
  </si>
  <si>
    <t xml:space="preserve">PM Hosted team compute storage · PM Hosted net monthly burn · PM 12-month cash projection · Parity Medic · 100 customers · Parity Medic · 100 customers</t>
  </si>
  <si>
    <t xml:space="preserve">PM Hosted team compute storage · PM Hosted net monthly burn · PM 12-month cash projection · Parity Medic · 500 customers · Parity Medic · 500 customers</t>
  </si>
  <si>
    <t xml:space="preserve">PM Hosted team support hours · PM Hosted net monthly burn · PM 12-month cash projection · Main Scenario · Main Scenario</t>
  </si>
  <si>
    <t xml:space="preserve">PM Hosted team support hours · PM Hosted net monthly burn · PM 12-month cash projection · Parity Medic · 100 customers · Parity Medic · 100 customers</t>
  </si>
  <si>
    <t xml:space="preserve">PM Hosted team support hours · PM Hosted net monthly burn · PM 12-month cash projection · Parity Medic · 500 customers · Parity Medic · 500 customers</t>
  </si>
  <si>
    <t xml:space="preserve">PM Local individual compute storage · PM Local net monthly burn · PM 12-month cash projection · Main Scenario · Main Scenario</t>
  </si>
  <si>
    <t xml:space="preserve">PM Local individual compute storage · PM Local net monthly burn · PM 12-month cash projection · Parity Medic · 100 customers · Parity Medic · 100 customers</t>
  </si>
  <si>
    <t xml:space="preserve">PM Local individual compute storage · PM Local net monthly burn · PM 12-month cash projection · Parity Medic · 500 customers · Parity Medic · 500 customers</t>
  </si>
  <si>
    <t xml:space="preserve">PM Local individual support hours · PM Local net monthly burn · PM 12-month cash projection · Main Scenario · Main Scenario</t>
  </si>
  <si>
    <t xml:space="preserve">PM Local individual support hours · PM Local net monthly burn · PM 12-month cash projection · Parity Medic · 100 customers · Parity Medic · 100 customers</t>
  </si>
  <si>
    <t xml:space="preserve">PM Local individual support hours · PM Local net monthly burn · PM 12-month cash projection · Parity Medic · 500 customers · Parity Medic · 500 customers</t>
  </si>
  <si>
    <t xml:space="preserve">PM Local team compute storage · PM Local net monthly burn · PM 12-month cash projection · Main Scenario · Main Scenario</t>
  </si>
  <si>
    <t xml:space="preserve">PM Local team compute storage · PM Local net monthly burn · PM 12-month cash projection · Parity Medic · 100 customers · Parity Medic · 100 customers</t>
  </si>
  <si>
    <t xml:space="preserve">PM Local team compute storage · PM Local net monthly burn · PM 12-month cash projection · Parity Medic · 500 customers · Parity Medic · 500 customers</t>
  </si>
  <si>
    <t xml:space="preserve">PM Local team support hours · PM Local net monthly burn · PM 12-month cash projection · Main Scenario · Main Scenario</t>
  </si>
  <si>
    <t xml:space="preserve">PM Local team support hours · PM Local net monthly burn · PM 12-month cash projection · Parity Medic · 100 customers · Parity Medic · 100 customers</t>
  </si>
  <si>
    <t xml:space="preserve">PM Local team support hours · PM Local net monthly burn · PM 12-month cash projection · Parity Medic · 500 customers · Parity Medic · 500 customers</t>
  </si>
  <si>
    <t xml:space="preserve">PM Payment fee · PM Hosted net monthly burn · PM 12-month cash projection · Main Scenario · Main Scenario</t>
  </si>
  <si>
    <t xml:space="preserve">PM Payment fee · PM Hosted net monthly burn · PM 12-month cash projection · Parity Medic · 100 customers · Parity Medic · 100 customers</t>
  </si>
  <si>
    <t xml:space="preserve">PM Payment fee · PM Hosted net monthly burn · PM 12-month cash projection · Parity Medic · 500 customers · Parity Medic · 500 customers</t>
  </si>
  <si>
    <t xml:space="preserve">PM Payment percent · PM Hosted net monthly burn · PM 12-month cash projection · Main Scenario · Main Scenario</t>
  </si>
  <si>
    <t xml:space="preserve">PM Payment percent · PM Hosted net monthly burn · PM 12-month cash projection · Parity Medic · 100 customers · Parity Medic · 100 customers</t>
  </si>
  <si>
    <t xml:space="preserve">PM Payment percent · PM Hosted net monthly burn · PM 12-month cash projection · Parity Medic · 500 customers · Parity Medic · 500 customers</t>
  </si>
  <si>
    <t xml:space="preserve">PM Repair cost · PM Hosted net monthly burn · PM 12-month cash projection · Main Scenario · Main Scenario</t>
  </si>
  <si>
    <t xml:space="preserve">PM Repair cost · PM Hosted net monthly burn · PM 12-month cash projection · Parity Medic · 100 customers · Parity Medic · 100 customers</t>
  </si>
  <si>
    <t xml:space="preserve">PM Repair cost · PM Hosted net monthly burn · PM 12-month cash projection · Parity Medic · 500 customers · Parity Medic · 500 customers</t>
  </si>
  <si>
    <t xml:space="preserve">PM Support hourly cost · PM Hosted net monthly burn · PM 12-month cash projection · Main Scenario · Main Scenario</t>
  </si>
  <si>
    <t xml:space="preserve">PM Support hourly cost · PM Hosted net monthly burn · PM 12-month cash projection · Parity Medic · 100 customers · Parity Medic · 100 customers</t>
  </si>
  <si>
    <t xml:space="preserve">PM Support hourly cost · PM Hosted net monthly burn · PM 12-month cash projection · Parity Medic · 500 customers · Parity Medic · 500 customers</t>
  </si>
  <si>
    <t xml:space="preserve">PM Included repairs per customer · PM Hosted net monthly burn · PM 12-month cash projection · Main Scenario · Main Scenario</t>
  </si>
  <si>
    <t xml:space="preserve">PM Included repairs per customer · PM Hosted net monthly burn · PM 12-month cash projection · Parity Medic · 100 customers · Parity Medic · 100 customers</t>
  </si>
  <si>
    <t xml:space="preserve">PM Included repairs per customer · PM Hosted net monthly burn · PM 12-month cash projection · Parity Medic · 500 customers · Parity Medic · 500 customers</t>
  </si>
  <si>
    <t xml:space="preserve">PM Individual repair cap · PM Hosted net monthly burn · PM 12-month cash projection · Main Scenario · Main Scenario</t>
  </si>
  <si>
    <t xml:space="preserve">PM Individual repair cap · PM Hosted net monthly burn · PM 12-month cash projection · Parity Medic · 100 customers · Parity Medic · 100 customers</t>
  </si>
  <si>
    <t xml:space="preserve">PM Individual repair cap · PM Hosted net monthly burn · PM 12-month cash projection · Parity Medic · 500 customers · Parity Medic · 500 customers</t>
  </si>
  <si>
    <t xml:space="preserve">PM Team repair cap · PM Hosted net monthly burn · PM 12-month cash projection · Main Scenario · Main Scenario</t>
  </si>
  <si>
    <t xml:space="preserve">PM Team repair cap · PM Hosted net monthly burn · PM 12-month cash projection · Parity Medic · 100 customers · Parity Medic · 100 customers</t>
  </si>
  <si>
    <t xml:space="preserve">PM Team repair cap · PM Hosted net monthly burn · PM 12-month cash projection · Parity Medic · 500 customers · Parity Medic · 500 customers</t>
  </si>
  <si>
    <t xml:space="preserve">Dimensions</t>
  </si>
  <si>
    <t xml:space="preserve">PM Validation workstream</t>
  </si>
  <si>
    <t xml:space="preserve">Accounts</t>
  </si>
  <si>
    <t xml:space="preserve">Delivery</t>
  </si>
  <si>
    <t xml:space="preserve">Monthly revenue USD</t>
  </si>
  <si>
    <t xml:space="preserve">Full monthly cost USD</t>
  </si>
  <si>
    <t xml:space="preserve">Net burn or surplus USD</t>
  </si>
  <si>
    <t xml:space="preserve">Runway months</t>
  </si>
  <si>
    <t xml:space="preserve">Economic profit USD</t>
  </si>
  <si>
    <t xml:space="preserve">Local</t>
  </si>
  <si>
    <t xml:space="preserve">$0.00</t>
  </si>
  <si>
    <t xml:space="preserve">$925.00</t>
  </si>
  <si>
    <t xml:space="preserve">5.41</t>
  </si>
  <si>
    <t xml:space="preserve">($2,825.00)</t>
  </si>
  <si>
    <t xml:space="preserve">Hosted</t>
  </si>
  <si>
    <t xml:space="preserve">$1,700.00</t>
  </si>
  <si>
    <t xml:space="preserve">2.94</t>
  </si>
  <si>
    <t xml:space="preserve">($3,200.00)</t>
  </si>
  <si>
    <t xml:space="preserve">$3,500.00</t>
  </si>
  <si>
    <t xml:space="preserve">$2,133.20</t>
  </si>
  <si>
    <t xml:space="preserve">($1,366.80)</t>
  </si>
  <si>
    <t xml:space="preserve">No finite limit</t>
  </si>
  <si>
    <t xml:space="preserve">($533.20)</t>
  </si>
  <si>
    <t xml:space="preserve">$3,041.20</t>
  </si>
  <si>
    <t xml:space="preserve">($458.80)</t>
  </si>
  <si>
    <t xml:space="preserve">($1,041.20)</t>
  </si>
  <si>
    <t xml:space="preserve">$17,500.00</t>
  </si>
  <si>
    <t xml:space="preserve">$7,706.00</t>
  </si>
  <si>
    <t xml:space="preserve">($9,794.00)</t>
  </si>
  <si>
    <t xml:space="preserve">$7,894.00</t>
  </si>
  <si>
    <t xml:space="preserve">$9,766.00</t>
  </si>
  <si>
    <t xml:space="preserve">($7,734.00)</t>
  </si>
  <si>
    <t xml:space="preserve">$6,234.00</t>
  </si>
  <si>
    <t xml:space="preserve">Cost per repair USD</t>
  </si>
  <si>
    <t xml:space="preserve">Capped burn USD</t>
  </si>
  <si>
    <t xml:space="preserve">Capped runway months</t>
  </si>
  <si>
    <t xml:space="preserve">100 repair burn USD</t>
  </si>
  <si>
    <t xml:space="preserve">100 repair runway months</t>
  </si>
  <si>
    <t xml:space="preserve">$0.05</t>
  </si>
  <si>
    <t xml:space="preserve">$0.25</t>
  </si>
  <si>
    <t xml:space="preserve">$1.00</t>
  </si>
  <si>
    <t xml:space="preserve">($1,110.80)</t>
  </si>
  <si>
    <t xml:space="preserve">($202.80)</t>
  </si>
  <si>
    <t xml:space="preserve">($790.80)</t>
  </si>
  <si>
    <t xml:space="preserve">$611.50</t>
  </si>
  <si>
    <t xml:space="preserve">8.18</t>
  </si>
  <si>
    <t xml:space="preserve">$146.50</t>
  </si>
  <si>
    <t xml:space="preserve">34.13</t>
  </si>
  <si>
    <t xml:space="preserve">$1,746.50</t>
  </si>
  <si>
    <t xml:space="preserve">2.86</t>
  </si>
  <si>
    <t xml:space="preserve">$1,711.50</t>
  </si>
  <si>
    <t xml:space="preserve">2.92</t>
  </si>
  <si>
    <t xml:space="preserve">$8,111.50</t>
  </si>
  <si>
    <t xml:space="preserve">0.62</t>
  </si>
  <si>
    <t xml:space="preserve">$2,846.50</t>
  </si>
  <si>
    <t xml:space="preserve">1.76</t>
  </si>
  <si>
    <t xml:space="preserve">$9,246.50</t>
  </si>
  <si>
    <t xml:space="preserve">0.54</t>
  </si>
  <si>
    <t xml:space="preserve">($8,514.00)</t>
  </si>
  <si>
    <t xml:space="preserve">($6,454.00)</t>
  </si>
  <si>
    <t xml:space="preserve">($6,914.00)</t>
  </si>
  <si>
    <t xml:space="preserve">($514.00)</t>
  </si>
  <si>
    <t xml:space="preserve">($4,854.00)</t>
  </si>
  <si>
    <t xml:space="preserve">$1,932.50</t>
  </si>
  <si>
    <t xml:space="preserve">2.59</t>
  </si>
  <si>
    <t xml:space="preserve">$4,857.50</t>
  </si>
  <si>
    <t xml:space="preserve">1.03</t>
  </si>
  <si>
    <t xml:space="preserve">$36,857.50</t>
  </si>
  <si>
    <t xml:space="preserve">0.14</t>
  </si>
  <si>
    <t xml:space="preserve">$7,432.50</t>
  </si>
  <si>
    <t xml:space="preserve">0.67</t>
  </si>
  <si>
    <t xml:space="preserve">$39,432.50</t>
  </si>
  <si>
    <t xml:space="preserve">0.13</t>
  </si>
  <si>
    <t xml:space="preserve">Price factor</t>
  </si>
  <si>
    <t xml:space="preserve">ARPU USD</t>
  </si>
  <si>
    <t xml:space="preserve">Monthly burn USD</t>
  </si>
  <si>
    <t xml:space="preserve">75%</t>
  </si>
  <si>
    <t xml:space="preserve">$26.25</t>
  </si>
  <si>
    <t xml:space="preserve">100%</t>
  </si>
  <si>
    <t xml:space="preserve">$35.00</t>
  </si>
  <si>
    <t xml:space="preserve">125%</t>
  </si>
  <si>
    <t xml:space="preserve">$43.75</t>
  </si>
  <si>
    <t xml:space="preserve">($687.10)</t>
  </si>
  <si>
    <t xml:space="preserve">$276.12</t>
  </si>
  <si>
    <t xml:space="preserve">18.11</t>
  </si>
  <si>
    <t xml:space="preserve">($2,046.50)</t>
  </si>
  <si>
    <t xml:space="preserve">($1,138.50)</t>
  </si>
  <si>
    <t xml:space="preserve">($6,395.50)</t>
  </si>
  <si>
    <t xml:space="preserve">($4,335.50)</t>
  </si>
  <si>
    <t xml:space="preserve">($13,192.50)</t>
  </si>
  <si>
    <t xml:space="preserve">($11,132.50)</t>
  </si>
  <si>
    <t xml:space="preserve"># Parity Medic
## neatHack business plan · developer tools · USD
**Decision:** validate a local-first verifier with paid, metered repair and evidence support. Do not build a broad hosted service or promise universal parity before proving demand and deployment safety.</t>
  </si>
  <si>
    <t xml:space="preserve">**Planning status:** new hypothetical project, unrelated to Rajendra Institute of Medical Sciences. No paying customers, funding, commercial launch, customer time savings or market size are verified. No existing company records or integrations were used or changed. Every commercial figure below is a proposal or hypothetical planning input. The $5,000 starting cash is a hypothetical budget, not a verified bank balance.</t>
  </si>
  <si>
    <t xml:space="preserve">## 1. Product, buyer and evidence
Parity Medic helps developers building agents and compatibility wrappers avoid silently changing an existing tool’s behavior. A developer supplies an adapter. The agent reads the original shipped implementation, tests revisions, and returns a measured result with supporting proof. The first reference is Bruno 4.2.1, limited to deterministic interpolation and JSON request preparation. It does not reconstruct arbitrary applications or send production requests.</t>
  </si>
  <si>
    <t xml:space="preserve">The initial buyer is a small developer-tool team maintaining wrappers around stable open-source tools. The proposed job-to-be-done is less manual mismatch investigation, a reproducible contract, and evidence that a particular revision preserves supported behavior. Positioning: **maintained reference contracts and credible, reproducible verification evidence—not “an agent that can clone anything.”**</t>
  </si>
  <si>
    <t xml:space="preserve">User-reported prototype evidence: one local repair improved 55/80 to 80/80, plus 80 independently chosen replay inputs. These reports were supplied in the planning brief; Ari did not inspect the repository or replay logs. Passing finite tests is not proof of universal parity, production safety or general customer impact. Do not combine the two sets into a claimed 160-test independent certification.</t>
  </si>
  <si>
    <t xml:space="preserve">The successful repair reportedly used three model calls and 28,418 tokens. Neatlogs estimated $0.0117204 for that trace; it is not a provider invoice and omits unsuccessful debugging attempts and hosting. The model uses a deliberately higher hypothetical $0.05 per repair, with $0.25 and $1.00 stress cases. Those planning values are not measured average repair costs.</t>
  </si>
  <si>
    <t xml:space="preserve">## 2. Offer and pricing hypothesis
- **Free local verifier:** supported deterministic checks and local proof output. Self-service documentation; no free cloud repair entitlement or unlimited human support. Users supply their own references and rights to use them.
- **Individual, proposed $19/month:** test 20 metered repair attempts/month, local-first use and evidence history. A failed or abandoned attempt can still incur model cost and should count against the quota.
- **Team, proposed $99/month per team account:** test 100 repair attempts/month, shared evidence, CI integration and private reference storage. Seats, retention and storage limits must be agreed during pilots; no implied unlimited seats or storage.
- The same prices are held constant across local and hosted alternatives to isolate delivery economics, not because price equivalence is validated. A fully local team edition stores private references and history under the customer’s control; the hosted alternative would provide managed storage only after security gates pass. Local distribution means no vendor-managed multi-tenant application or reference store; optional model repair still requires an explicitly consented external-provider call. No on-device language model or offline repair capability is assumed. The vendor-paid inference allowance is hypothetical, not an implemented billing mechanism.
- **Provider-cost guardrail, proposed:** stop automatically at both the attempt quota and a provider-spend ceiling, initially $5 per individual and $20 per team per month. The financial base uses the attempt quotas only; it does NOT book an unvalidated saving from these extra dollar limits. At $1/attempt, those ceilings would permit at most 5 and 20 attempts respectively. Explain that reduction before purchase; never silently reduce the promised entitlement.
- **Overages, interview proposal:** opt-in, prepaid at 1.5× estimated provider cost, with a disclosed minimum charge if necessary. No overage revenue is modeled. User consent, cost estimates and an explicit stop are mandatory. Reprice or reduce included usage if high-cost repairs persist.</t>
  </si>
  <si>
    <t xml:space="preserve">Repair-count caps alone are insufficient: at $1 per repair, 20 individual attempts consume $20 of inference against a $19 price, and 100 team attempts consume $100 against $99—before compute, payments or support. At an uncapped 100 repairs/customer/month, inference alone is $5, $25 or $100/customer. The individual offer therefore cannot promise 100 included repairs under the expensive case.</t>
  </si>
  <si>
    <t xml:space="preserve">## 3. Hypothetical commercial and cost assumptions
The model treats a customer as one paid account, not a seat. Mix is 80% individual / 20% team: 100 accounts means 80 individual and 20 team; 500 means 400 and 100. Weighted revenue is $35/account/month. At full included utilization, the weighted repair allowance is 36 attempts/account/month. No customers are assumed to exist today; the 100 and 500 cases are illustrative steady states, not acquisition forecasts or commitments.</t>
  </si>
  <si>
    <t xml:space="preserve">Monthly churn is assumed at 3%, evenly across offers. Replacing churn keeps account counts constant: 3 replacements/month at 100 accounts; 15 at 500. Hypothetical replacement CAC is $40 local and $65 hosted. Additional acquisition experiments cost $150/month local and $300 hosted. These experiment budgets produce **no assumed new customers**. Initial customer acquisition is not magically free: acquiring 100 accounts at those CACs would cost $4,000 / $6,500; acquiring 500 would cost $20,000 / $32,500, before churn replacement and experimental spend. These are indicative initial-acquisition needs, not charges in the steady-state monthly tables. A $5,000 budget does not demonstrate a funded route to either scale case. Referrals, community distribution and founder selling must be validated rather than booked as free growth.</t>
  </si>
  <si>
    <t xml:space="preserve">**Local variable delivery inputs:** compute/storage $0.25 individual / $0.75 team; support 0.10 / 0.40 hours per account per month at $25/hour. Weighted support is $4 and compute/storage $0.35/account. Local customer devices run the verifier; the service’s $25/month fixed delivery allowance is for licensing/update/evidence distribution, not private-reference cloud execution.</t>
  </si>
  <si>
    <t xml:space="preserve">**Hosted variable delivery inputs:** compute/storage $0.75 individual / $3.00 team; support 0.15 / 0.60 hours at $25/hour. Weighted support is $6 and compute/storage $1.20/account. Add $150/month fixed hosting/observability/job infrastructure. Hosting allowances are hypothetical and do not establish that the required architecture exists.</t>
  </si>
  <si>
    <t xml:space="preserve">**Both alternatives:** payment processing assumed 2.9% of subscription receipts plus $0.30/account/month. Baseline inference is $1.80/account at full weighted allowance. Support is separately costed capacity, not free founder labor; at 500 accounts, it represents 80 hours/month local or 120 hours hosted.</t>
  </si>
  <si>
    <t xml:space="preserve">**Monthly local overhead:** software/tooling $45; legal/security/insurance contingency reserve $75; administration/bookkeeping $30; founder cash stipend $600; growth experiments $150. Including fixed delivery gives $925/month before account-linked costs.</t>
  </si>
  <si>
    <t xml:space="preserve">**Monthly hosted overhead:** software/tooling $60; legal/security/insurance contingency reserve $150; administration/bookkeeping $40; founder cash stipend $1,000; growth experiments $300. Including fixed delivery gives $1,700/month before account-linked costs.</t>
  </si>
  <si>
    <t xml:space="preserve">Founder full-time development, reference maintenance and selling are hypothetically valued at $2,500/month, not asserted as a market salary. The cash stipend is included in cash cost; the remaining unpaid value is disclosed through economic profit, subtracting another $1,900 local or $1,500 hosted. This prevents cash surplus from being described as full labor-cost profitability.</t>
  </si>
  <si>
    <t xml:space="preserve">A hypothetical **20% reserve on positive pre-tax cash operating profit** is included in cash costs, separately from the legal/security contingency. This is a prudence assumption, not a jurisdiction-specific tax calculation or an incurred liability. No loss tax refunds, financing, debt service, distributions, capex, paid seats beyond these accounts, FX or annual-prepayment benefit are assumed. Prices are USD before any applicable sales taxes, which are assumed pass-through. Actual entity, tax, insurance, licensing and employment obligations must be established before selling. Cost categories are fully itemized for this planning scope; amounts are not vendor quotes and do not guarantee real deployment costs.</t>
  </si>
  <si>
    <t xml:space="preserve">## 4. Revenue, margins and cash interpretation
The accompanying native tables and Canvas compare 0, 100 and 500 accounts, both delivery alternatives, three repair-cost assumptions and ±25% pricing. Lower-price offers are $14.25 / $74.25; higher-price offers are $23.75 / $123.75. Pricing sensitivity holds mix, churn, utilization and account count constant; it measures arithmetic, not demand elasticity.</t>
  </si>
  <si>
    <t xml:space="preserve">Baseline recurring revenue is $0, $3,500 or $17,500/month, and annualized recurring revenue run rate is 12× monthly revenue—not an earned annual forecast. Full monthly costs include inference, compute/storage, paid support, processing, fixed infrastructure, tooling, contingencies, administration, founder stipend, replacement acquisition, experiments and the hypothetical profit-tax reserve.</t>
  </si>
  <si>
    <t xml:space="preserve">Gross profit deducts inference, compute/storage, paid support, processing and fixed delivery infrastructure. It excludes selling, administration, founder product-development compensation, contingency and tax reserve. It is **not inference-only margin**. At zero revenue gross margin is undefined, not 0% or 100%. Monthly cost totals and profit are more decision-useful than that undefined ratio.</t>
  </si>
  <si>
    <t xml:space="preserve">Net monthly burn = full recurring monthly cash costs − subscription cash receipts. Positive burn consumes cash; negative burn is a cash surplus. Cash runway = $5,000 / positive net monthly burn. Non-burning and profitable cases have **no finite cash-runway limit under those constant assumptions**; this is not a guarantee of survival or a claim of infinite demand.</t>
  </si>
  <si>
    <t xml:space="preserve">The base cash break-even levels are 36 local or 75 hosted accounts, under the assumed mix and full quota use. At 100 accounts, both show cash surplus but negative economic profit after unpaid founder time. This is a viable validation experiment, not yet proof of a fully compensated business.</t>
  </si>
  <si>
    <t xml:space="preserve">The 12-month projection runs October 2026–September 2027 with constant case economics and no funding. It spends the $1,500 validation budget at inception, leaving $3,500 for operations. The companion main runway numbers deliberately use the requested full $5,000; the post-validation runway rows use $3,500 so the one-time cost is not hidden or double-counted. At zero accounts that leaves 3.78 months local or 2.06 months hosted. Monthly end balances first go negative in January 2027 locally or December 2026 hosted. These are hypothetical start-date conventions, not real insolvency forecasts.</t>
  </si>
  <si>
    <t xml:space="preserve">The repair sensitivity compares capped 36 weighted repairs against 100 repairs/account with no overage revenue. It changes inference alone, leaving support, retries and infrastructure unchanged; correlated support or failure-cost increases would make the expensive cases worse. At 100 accounts and $0.25/repair, hosted capped usage burns $146.50/month; uncapped usage burns $611.50 local or $1,746.50 hosted. At $1/repair, even capped usage burns cash in both alternatives. This is why usage limits and provider-cost guardrails matter more than the headline prototype trace cost.</t>
  </si>
  <si>
    <t xml:space="preserve">## 5. Validation milestones and $1,500 budget
All dates are hypothetical relative targets from kickoff. Spending is gated; the projection conservatively reserves the entire validation amount immediately. Go/no-go thresholds below are proposed decision rules, not observed results.</t>
  </si>
  <si>
    <t xml:space="preserve">**Weeks 1–2 · wrapper interviews · $150.** Interview five developers who maintain wrappers. Obtain an actual historical mismatch, baseline time-to-diagnose, security requirements, and a named buyer. Proceed only if at least three describe recurring supported-scope pain and at least two agree to test their own cases. Record rejections as well as interest. Deliver anonymized interview notes and a pricing/usage-limit objection log.</t>
  </si>
  <si>
    <t xml:space="preserve">**Weeks 2–3 · second contract and provider · $350.** Add a second independently verified reference contract and a second model provider. Choose the reference only after source-access and license review; no second tool or vendor is claimed here. Measure correct refusals as well as repairs. Pass only when scope and version are explicit, reference evidence is reproducible, and both providers can complete a bounded job or fail safely under an agreed cost ceiling.</t>
  </si>
  <si>
    <t xml:space="preserve">**Weeks 3–4 · preregistered evaluation · $300.** Before running, freeze a protocol with 120 fresh cases: 60 supported valid, 30 supported malformed/edge cases with declared outcomes, and 30 unsupported cases. Keep development fixtures separate; log all attempts, failures, latency, repair time and provider cost. Proposed pilot gates: at least 95% correct supported outcomes; no false acceptance in the 30 unsupported cases; median inference ≤$0.05 and p95 ≤$0.25 per attempted repair; a p95 completion-time target agreed with interview participants before the run. Report denominators, uncertainty and failures; zero observed false acceptances in a small sample does not establish zero true risk. If gates fail, narrow scope or change quotas and rerun a fresh holdout.</t>
  </si>
  <si>
    <t xml:space="preserve">**Weeks 4–5 · security and recovery · $400.** Review payload boundaries, local versus remote execution, licensing, tenant isolation, secrets, durable job leases, retry/idempotency, recovery after worker loss, storage retention/deletion and auditable provider consent. Proposed hosted gate: deny cross-tenant access in designed tests; redact secret fixtures; demonstrate deletion and bounded retries; recover interrupted work without duplicate side effects or unbounded charges. A $400 review allowance is a bounded validation step, not an audit or production-readiness certification. If that cannot cover the work, keep pilots local and re-budget.</t>
  </si>
  <si>
    <t xml:space="preserve">**Weeks 5–6 · limited pilot · $200.** Offer paid access only after boundaries and recovery meet the pilot’s deployment needs. Seek two independent paying pilot accounts with explicit quota, consent, unsupported-scope terms and stop controls. Measure ≥30% median diagnosis-time reduction on paired historical mismatches against each developer’s actual baseline; separately log setup burden, reruns, support minutes and renew/reject decisions. This is a validation target, not existing traction. Do not record future pilot revenue before someone pays.</t>
  </si>
  <si>
    <t xml:space="preserve">**Weeks 6–8 · CI exports and version drift · $100.** Produce versioned proof/evidence exports, provenance, reference fingerprints and a drift warning when Bruno or another supported reference changes. Gate expansion on repeat usage and a customer’s real CI workflow; a broad marketplace of reconstructed apps is deliberately out of scope.</t>
  </si>
  <si>
    <t xml:space="preserve">If interviews fail, stop after the first tranche and preserve unspent budget. Do not spend the whole $5,000 building a platform before validating a costly, recurring problem.</t>
  </si>
  <si>
    <t xml:space="preserve">## 6. Risk register and mitigations
- **Finite tests and overfitting · existential product risk.** Frozen independent holdouts, versioned supported scope, negative tests, refusal metrics and reproducible proof. Residual: accepted repairs can still fail outside the finite contract. Never market universal parity.
- **Reference source access and licensing · launch blocker.** Per-reference license/source review; record permitted versions and use. Exclude references whose rights or access cannot be established; no right to redistribute original source is assumed.
- **Provider behavior, pricing and reasoning mode · margin/reliability risk.** A second provider, provider/version logs, bounded calls/tokens/retries, spend stops and re-evaluation after configuration changes. User reports reasoning mode exhausted the prototype budget until configured correctly; the successful trace excludes those unsuccessful attempts.
- **Secrets and private references · high impact.** Local by default, explicit consent before sending data, strict retention/deletion and secret-redaction tests. Hosted access remains gated behind tenant isolation and recovery. Private reference storage is not a promise of audited security.
- **Popular coding agents incorporate similar features · competitive risk.** Win on maintained contracts, credible evidence, CI outputs and version drift—not generic repair chat. No external competitive research or exclusivity is claimed.
- **Demand and time savings unvalidated · commercial risk.** Five problem interviews, paired time-to-diagnose tests, real paid pilots and renewal decisions before scale spend. Proposed prices, mix, CAC and churn may all be wrong.
- **Support and infrastructure underestimate · capacity risk.** Log support per account, storage, retention and retry burden; reprice when p95 cost or support breaks the assumed budget. At 500 accounts, paid support is a real operating function, not a hobby.
- **Capital and income gap · founder risk.** Only hypothetical starting cash exists. No funding is modeled. Initial acquisition and adequate founder compensation need a route to financing from receipts, reduced scope or explicitly hypothetical additional funding—not invented traction.</t>
  </si>
  <si>
    <t xml:space="preserve">## 7. Launch and financing strategy
Start fully local: free verifier, bounded paid repairs, versioned evidence and CI artifacts. Founder-led outreach to the five interview participants and referrals is a test channel, not validated distribution. Keep the $150 local experiment budget small until cost-per-converted-account and diagnosis-time reduction are measured. Do not assign a TAM or projected conversion rate without evidence.</t>
  </si>
  <si>
    <t xml:space="preserve">Hosted teams are a conditional second delivery option, not the hackathon prototype’s existing architecture. Build only the minimum tenant boundaries, durable jobs, provider consent, retention and recovery required by an agreed pilot. The extra fixed and variable costs are modeled separately; the two alternatives are mutually exclusive and must never be added together as one business.</t>
  </si>
  <si>
    <t xml:space="preserve">Recommend a gated $1,500 validation reserve, local recurring operations and no hypothetical raise in the base case. The 100- and 500-account cases demonstrate what the economics could look like at scale; they do not demonstrate that the company can acquire those accounts within the starting budget. Before seeking money, preserve fresh evaluation results, paid-pilot consent, measured costs and retention evidence. Funding need depends on real growth spending and founder compensation; it is not verified here.</t>
  </si>
  <si>
    <t xml:space="preserve">## 8. Method, checks and actual provenance
Ari generated this plan inside cfo.ai on 12 October 2026 from the user’s prepared Parity Medic brief and explicitly hypothetical assumptions. No internet research, accounting feed, CRM, HRIS, provider invoice, repository or external company data was used. The workspace name was not used as company identity and was not changed. Account setup was reported complete by the user; it was not independently inspected.</t>
  </si>
  <si>
    <t xml:space="preserve">The native model contains editable assumptions, a customer mix, itemized delivery/operating costs, tier costs, scenario comparisons, repair and price sensitivities, an itemized validation budget, a hypothetical tax reserve and 12-month cash projections. Main is the 0-account case; the two named Parity Medic scenarios override only the account input to 100 and 500. A Canvas simulator provides read-only previews; previews do not change saved financial inputs.</t>
  </si>
  <si>
    <t xml:space="preserve">Checks include saved engine calculations for all six customer/delivery combinations; independent arithmetic of revenue, cost bridge, conditional runway and first/last projected cash; and a saved repair-cost driver test in the 100-account case, followed by restoration of $0.05. Repair/price sensitivity and tier rows were inspected from the native engine. Browser validation checks Canvas rendering at the tested width, not correctness of commercial assumptions or a click’s behavior. Static exports preserve the generated report and calculated snapshot; the editable workbook carries any formula-export limitations on its Export notes sheet.</t>
  </si>
  <si>
    <t xml:space="preserve">This is actual cfo.ai-generated planning output, not evidence of product demand or prototype correctness. The saved page and downloadable artifacts preserve that provenance for the demo. Whether this satisfies any neatHack sponsor rule depends on the rule and judges; no unprovided contest requirement or sponsor approval is asserted.
</t>
  </si>
</sst>
</file>

<file path=xl/styles.xml><?xml version="1.0" encoding="utf-8"?>
<styleSheet xmlns="http://schemas.openxmlformats.org/spreadsheetml/2006/main">
  <numFmts count="6">
    <numFmt numFmtId="164" formatCode="General"/>
    <numFmt numFmtId="165" formatCode="#,##0.00;\(#,##0.00\)"/>
    <numFmt numFmtId="166" formatCode="0.00%"/>
    <numFmt numFmtId="167" formatCode="\$#,##0.00;&quot;($&quot;#,##0.00\)"/>
    <numFmt numFmtId="168" formatCode="#,##0.###;\(#,##0.###\)"/>
    <numFmt numFmtId="169" formatCode="0%"/>
  </numFmts>
  <fonts count="9">
    <font>
      <sz val="10"/>
      <color rgb="FF352F29"/>
      <name val="Aptos"/>
      <family val="0"/>
      <charset val="1"/>
    </font>
    <font>
      <sz val="10"/>
      <name val="Arial"/>
      <family val="0"/>
    </font>
    <font>
      <sz val="10"/>
      <name val="Arial"/>
      <family val="0"/>
    </font>
    <font>
      <sz val="10"/>
      <name val="Arial"/>
      <family val="0"/>
    </font>
    <font>
      <b val="true"/>
      <sz val="16"/>
      <color rgb="FFFFFFFF"/>
      <name val="Aptos"/>
      <family val="0"/>
      <charset val="1"/>
    </font>
    <font>
      <sz val="9"/>
      <color rgb="FF817B73"/>
      <name val="Aptos"/>
      <family val="0"/>
      <charset val="1"/>
    </font>
    <font>
      <b val="true"/>
      <sz val="10"/>
      <color rgb="FF352F29"/>
      <name val="Aptos"/>
      <family val="0"/>
      <charset val="1"/>
    </font>
    <font>
      <sz val="10"/>
      <color rgb="FF817B73"/>
      <name val="Aptos"/>
      <family val="0"/>
      <charset val="1"/>
    </font>
    <font>
      <b val="true"/>
      <sz val="11"/>
      <color rgb="FF17343C"/>
      <name val="Cambria"/>
      <family val="0"/>
      <charset val="1"/>
    </font>
  </fonts>
  <fills count="8">
    <fill>
      <patternFill patternType="none"/>
    </fill>
    <fill>
      <patternFill patternType="gray125"/>
    </fill>
    <fill>
      <patternFill patternType="solid">
        <fgColor rgb="FF352F29"/>
        <bgColor rgb="FF333300"/>
      </patternFill>
    </fill>
    <fill>
      <patternFill patternType="solid">
        <fgColor rgb="FFF0EDE8"/>
        <bgColor rgb="FFF5F2EC"/>
      </patternFill>
    </fill>
    <fill>
      <patternFill patternType="solid">
        <fgColor rgb="FFF5F2EC"/>
        <bgColor rgb="FFF0EDE8"/>
      </patternFill>
    </fill>
    <fill>
      <patternFill patternType="solid">
        <fgColor rgb="FFE6E0D7"/>
        <bgColor rgb="FFE7E3DD"/>
      </patternFill>
    </fill>
    <fill>
      <patternFill patternType="solid">
        <fgColor rgb="FFF7F9FC"/>
        <bgColor rgb="FFFFFFFF"/>
      </patternFill>
    </fill>
    <fill>
      <patternFill patternType="solid">
        <fgColor rgb="FFDDEDE9"/>
        <bgColor rgb="FFE7E3DD"/>
      </patternFill>
    </fill>
  </fills>
  <borders count="2">
    <border diagonalUp="false" diagonalDown="false">
      <left/>
      <right/>
      <top/>
      <bottom/>
      <diagonal/>
    </border>
    <border diagonalUp="false" diagonalDown="false">
      <left/>
      <right/>
      <top/>
      <bottom style="thin">
        <color rgb="FFE7E3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righ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5" fontId="6" fillId="4" borderId="1" xfId="0" applyFont="tru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6" fontId="0" fillId="0" borderId="0" xfId="0" applyFont="false" applyBorder="false" applyAlignment="true" applyProtection="false">
      <alignment horizontal="right" vertical="center" textRotation="0" wrapText="false" indent="0" shrinkToFit="false"/>
      <protection locked="true" hidden="false"/>
    </xf>
    <xf numFmtId="167" fontId="0" fillId="0" borderId="0" xfId="0" applyFont="false" applyBorder="false" applyAlignment="true" applyProtection="false">
      <alignment horizontal="right" vertical="center" textRotation="0" wrapText="false" indent="0" shrinkToFit="false"/>
      <protection locked="true" hidden="false"/>
    </xf>
    <xf numFmtId="165" fontId="0" fillId="0" borderId="0" xfId="0" applyFont="false" applyBorder="false" applyAlignment="true" applyProtection="false">
      <alignment horizontal="right" vertical="center" textRotation="0" wrapText="false" indent="0" shrinkToFit="false"/>
      <protection locked="true" hidden="false"/>
    </xf>
    <xf numFmtId="167" fontId="6" fillId="4" borderId="1" xfId="0" applyFont="true" applyBorder="true" applyAlignment="true" applyProtection="false">
      <alignment horizontal="right" vertical="center" textRotation="0" wrapText="false" indent="0" shrinkToFit="false"/>
      <protection locked="true" hidden="false"/>
    </xf>
    <xf numFmtId="168" fontId="6" fillId="4" borderId="1" xfId="0" applyFont="true" applyBorder="true" applyAlignment="true" applyProtection="false">
      <alignment horizontal="right" vertical="center" textRotation="0" wrapText="false" indent="0" shrinkToFit="false"/>
      <protection locked="true" hidden="false"/>
    </xf>
    <xf numFmtId="168" fontId="0" fillId="0" borderId="0" xfId="0" applyFont="false" applyBorder="false" applyAlignment="true" applyProtection="false">
      <alignment horizontal="right" vertical="center" textRotation="0" wrapText="false" indent="0" shrinkToFit="false"/>
      <protection locked="true" hidden="false"/>
    </xf>
    <xf numFmtId="164" fontId="6" fillId="5" borderId="1" xfId="0" applyFont="true" applyBorder="true" applyAlignment="true" applyProtection="false">
      <alignment horizontal="right" vertical="center" textRotation="0" wrapText="false" indent="0" shrinkToFit="false"/>
      <protection locked="true" hidden="false"/>
    </xf>
    <xf numFmtId="169" fontId="6" fillId="4" borderId="1"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left" vertical="center" textRotation="0" wrapText="false" indent="0" shrinkToFit="false"/>
      <protection locked="true" hidden="false"/>
    </xf>
    <xf numFmtId="164" fontId="0" fillId="6" borderId="0" xfId="0" applyFont="true" applyBorder="false" applyAlignment="true" applyProtection="false">
      <alignment horizontal="left" vertical="center" textRotation="0" wrapText="false" indent="1" shrinkToFit="false"/>
      <protection locked="true" hidden="false"/>
    </xf>
    <xf numFmtId="169" fontId="0" fillId="0" borderId="0" xfId="0" applyFont="fals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DEDE9"/>
        </patternFill>
      </fill>
    </dxf>
    <dxf>
      <fill>
        <patternFill patternType="solid">
          <fgColor rgb="00FFFFFF"/>
        </patternFill>
      </fill>
    </dxf>
    <dxf>
      <fill>
        <patternFill patternType="solid">
          <fgColor rgb="FF17343C"/>
        </patternFill>
      </fill>
    </dxf>
    <dxf>
      <fill>
        <patternFill patternType="solid">
          <fgColor rgb="FF352F2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17B73"/>
      <rgbColor rgb="FF9999FF"/>
      <rgbColor rgb="FF993366"/>
      <rgbColor rgb="FFF5F2EC"/>
      <rgbColor rgb="FFDDEDE9"/>
      <rgbColor rgb="FF660066"/>
      <rgbColor rgb="FFFF8080"/>
      <rgbColor rgb="FF0066CC"/>
      <rgbColor rgb="FFE6E0D7"/>
      <rgbColor rgb="FF000080"/>
      <rgbColor rgb="FFFF00FF"/>
      <rgbColor rgb="FFFFFF00"/>
      <rgbColor rgb="FF00FFFF"/>
      <rgbColor rgb="FF800080"/>
      <rgbColor rgb="FF800000"/>
      <rgbColor rgb="FF008080"/>
      <rgbColor rgb="FF0000FF"/>
      <rgbColor rgb="FF00CCFF"/>
      <rgbColor rgb="FFF7F9FC"/>
      <rgbColor rgb="FFF0EDE8"/>
      <rgbColor rgb="FFFFFF99"/>
      <rgbColor rgb="FF99CCFF"/>
      <rgbColor rgb="FFFF99CC"/>
      <rgbColor rgb="FFCC99FF"/>
      <rgbColor rgb="FFE7E3DD"/>
      <rgbColor rgb="FF3366FF"/>
      <rgbColor rgb="FF33CCCC"/>
      <rgbColor rgb="FF99CC00"/>
      <rgbColor rgb="FFFFCC00"/>
      <rgbColor rgb="FFFF9900"/>
      <rgbColor rgb="FFFF6600"/>
      <rgbColor rgb="FF666699"/>
      <rgbColor rgb="FF969696"/>
      <rgbColor rgb="FF17343C"/>
      <rgbColor rgb="FF339966"/>
      <rgbColor rgb="FF003300"/>
      <rgbColor rgb="FF333300"/>
      <rgbColor rgb="FF993300"/>
      <rgbColor rgb="FF993366"/>
      <rgbColor rgb="FF333399"/>
      <rgbColor rgb="FF352F2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5" zeroHeight="false" outlineLevelRow="0" outlineLevelCol="0"/>
  <cols>
    <col collapsed="false" customWidth="true" hidden="false" outlineLevel="0" max="1" min="1" style="0" width="120"/>
  </cols>
  <sheetData>
    <row r="1" customFormat="false" ht="24" hidden="false" customHeight="true" outlineLevel="0" collapsed="false">
      <c r="A1" s="1" t="s">
        <v>0</v>
      </c>
    </row>
    <row r="2" customFormat="false" ht="24" hidden="false" customHeight="true" outlineLevel="0" collapsed="false">
      <c r="A2" s="1" t="s">
        <v>1</v>
      </c>
    </row>
    <row r="3" customFormat="false" ht="24" hidden="false" customHeight="true" outlineLevel="0" collapsed="false">
      <c r="A3" s="1" t="s">
        <v>2</v>
      </c>
    </row>
    <row r="4" customFormat="false" ht="24" hidden="false" customHeight="true" outlineLevel="0" collapsed="false">
      <c r="A4" s="1" t="s">
        <v>3</v>
      </c>
    </row>
    <row r="5" customFormat="false" ht="24" hidden="false" customHeight="true" outlineLevel="0" collapsed="false">
      <c r="A5" s="1" t="s">
        <v>4</v>
      </c>
    </row>
    <row r="6" customFormat="false" ht="24" hidden="false" customHeight="true" outlineLevel="0" collapsed="false">
      <c r="A6" s="1" t="s">
        <v>5</v>
      </c>
    </row>
    <row r="7" customFormat="false" ht="24" hidden="false" customHeight="true" outlineLevel="0" collapsed="false">
      <c r="A7" s="1" t="s">
        <v>6</v>
      </c>
    </row>
    <row r="8" customFormat="false" ht="24" hidden="false" customHeight="true" outlineLevel="0" collapsed="false">
      <c r="A8" s="1" t="s">
        <v>7</v>
      </c>
    </row>
    <row r="9" customFormat="false" ht="24" hidden="false" customHeight="true" outlineLevel="0" collapsed="false">
      <c r="A9" s="1" t="s">
        <v>8</v>
      </c>
    </row>
    <row r="10" customFormat="false" ht="24" hidden="false" customHeight="true" outlineLevel="0" collapsed="false">
      <c r="A10" s="1" t="s">
        <v>9</v>
      </c>
    </row>
    <row r="11" customFormat="false" ht="24" hidden="false" customHeight="true" outlineLevel="0" collapsed="false">
      <c r="A11" s="1" t="s">
        <v>10</v>
      </c>
    </row>
    <row r="12" customFormat="false" ht="24" hidden="false" customHeight="true" outlineLevel="0" collapsed="false">
      <c r="A12" s="1" t="s">
        <v>11</v>
      </c>
    </row>
    <row r="13" customFormat="false" ht="24" hidden="false" customHeight="true" outlineLevel="0" collapsed="false">
      <c r="A13" s="1" t="s">
        <v>12</v>
      </c>
    </row>
    <row r="14" customFormat="false" ht="24" hidden="false" customHeight="true" outlineLevel="0" collapsed="false">
      <c r="A14" s="1" t="s">
        <v>13</v>
      </c>
    </row>
    <row r="15" customFormat="false" ht="24" hidden="false" customHeight="true" outlineLevel="0" collapsed="false">
      <c r="A15" s="1" t="s">
        <v>14</v>
      </c>
    </row>
    <row r="16" customFormat="false" ht="24" hidden="false" customHeight="true" outlineLevel="0" collapsed="false">
      <c r="A16" s="1" t="s">
        <v>15</v>
      </c>
    </row>
    <row r="17" customFormat="false" ht="24" hidden="false" customHeight="true" outlineLevel="0" collapsed="false">
      <c r="A17" s="1"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2" min="2" style="0" width="19"/>
  </cols>
  <sheetData>
    <row r="1" customFormat="false" ht="31.5" hidden="false" customHeight="true" outlineLevel="0" collapsed="false">
      <c r="A1" s="2" t="s">
        <v>17</v>
      </c>
      <c r="B1" s="2"/>
    </row>
    <row r="2" customFormat="false" ht="19.5" hidden="false" customHeight="true" outlineLevel="0" collapsed="false">
      <c r="A2" s="3" t="s">
        <v>18</v>
      </c>
    </row>
    <row r="4" customFormat="false" ht="21.75" hidden="false" customHeight="true" outlineLevel="0" collapsed="false">
      <c r="A4" s="4" t="s">
        <v>19</v>
      </c>
      <c r="B4" s="5" t="s">
        <v>20</v>
      </c>
    </row>
    <row r="5" customFormat="false" ht="18" hidden="false" customHeight="false" outlineLevel="0" collapsed="false">
      <c r="A5" s="6" t="s">
        <v>21</v>
      </c>
      <c r="B5" s="7" t="n">
        <f aca="false">0</f>
        <v>0</v>
      </c>
    </row>
    <row r="6" customFormat="false" ht="18" hidden="false" customHeight="false" outlineLevel="0" collapsed="false">
      <c r="A6" s="8" t="s">
        <v>22</v>
      </c>
      <c r="B6" s="9" t="n">
        <f aca="false">0.2</f>
        <v>0.2</v>
      </c>
    </row>
    <row r="7" customFormat="false" ht="18" hidden="false" customHeight="false" outlineLevel="0" collapsed="false">
      <c r="A7" s="8" t="s">
        <v>23</v>
      </c>
      <c r="B7" s="10" t="n">
        <f aca="false">19</f>
        <v>19</v>
      </c>
    </row>
    <row r="8" customFormat="false" ht="18" hidden="false" customHeight="false" outlineLevel="0" collapsed="false">
      <c r="A8" s="8" t="s">
        <v>24</v>
      </c>
      <c r="B8" s="10" t="n">
        <f aca="false">99</f>
        <v>99</v>
      </c>
    </row>
    <row r="9" customFormat="false" ht="18" hidden="false" customHeight="false" outlineLevel="0" collapsed="false">
      <c r="A9" s="8" t="s">
        <v>25</v>
      </c>
      <c r="B9" s="11" t="n">
        <f aca="false">20</f>
        <v>20</v>
      </c>
    </row>
    <row r="10" customFormat="false" ht="18" hidden="false" customHeight="false" outlineLevel="0" collapsed="false">
      <c r="A10" s="8" t="s">
        <v>26</v>
      </c>
      <c r="B10" s="11" t="n">
        <f aca="false">100</f>
        <v>100</v>
      </c>
    </row>
    <row r="11" customFormat="false" ht="18" hidden="false" customHeight="false" outlineLevel="0" collapsed="false">
      <c r="A11" s="8" t="s">
        <v>27</v>
      </c>
      <c r="B11" s="11" t="n">
        <f aca="false">100</f>
        <v>100</v>
      </c>
    </row>
    <row r="12" customFormat="false" ht="18" hidden="false" customHeight="false" outlineLevel="0" collapsed="false">
      <c r="A12" s="8" t="s">
        <v>28</v>
      </c>
      <c r="B12" s="10" t="n">
        <f aca="false">0.05</f>
        <v>0.05</v>
      </c>
    </row>
    <row r="13" customFormat="false" ht="18" hidden="false" customHeight="false" outlineLevel="0" collapsed="false">
      <c r="A13" s="8" t="s">
        <v>29</v>
      </c>
      <c r="B13" s="10" t="n">
        <f aca="false">5000</f>
        <v>5000</v>
      </c>
    </row>
    <row r="14" customFormat="false" ht="18" hidden="false" customHeight="false" outlineLevel="0" collapsed="false">
      <c r="A14" s="8" t="s">
        <v>30</v>
      </c>
      <c r="B14" s="11" t="n">
        <f aca="false">SUM('PM Validation budget'!B5,'PM Validation budget'!B6,'PM Validation budget'!B7,'PM Validation budget'!B8,'PM Validation budget'!B9,'PM Validation budget'!B10)</f>
        <v>1500</v>
      </c>
    </row>
    <row r="15" customFormat="false" ht="18" hidden="false" customHeight="false" outlineLevel="0" collapsed="false">
      <c r="A15" s="8" t="s">
        <v>31</v>
      </c>
      <c r="B15" s="9" t="n">
        <f aca="false">0.03</f>
        <v>0.03</v>
      </c>
    </row>
    <row r="16" customFormat="false" ht="18" hidden="false" customHeight="false" outlineLevel="0" collapsed="false">
      <c r="A16" s="8" t="s">
        <v>32</v>
      </c>
      <c r="B16" s="9" t="n">
        <f aca="false">0.029</f>
        <v>0.029</v>
      </c>
    </row>
    <row r="17" customFormat="false" ht="18" hidden="false" customHeight="false" outlineLevel="0" collapsed="false">
      <c r="A17" s="8" t="s">
        <v>33</v>
      </c>
      <c r="B17" s="11" t="n">
        <f aca="false">0.3</f>
        <v>0.3</v>
      </c>
    </row>
    <row r="18" customFormat="false" ht="18" hidden="false" customHeight="false" outlineLevel="0" collapsed="false">
      <c r="A18" s="8" t="s">
        <v>34</v>
      </c>
      <c r="B18" s="10" t="n">
        <f aca="false">25</f>
        <v>25</v>
      </c>
    </row>
    <row r="19" customFormat="false" ht="18" hidden="false" customHeight="false" outlineLevel="0" collapsed="false">
      <c r="A19" s="8" t="s">
        <v>35</v>
      </c>
      <c r="B19" s="11" t="n">
        <f aca="false">0.1</f>
        <v>0.1</v>
      </c>
    </row>
    <row r="20" customFormat="false" ht="18" hidden="false" customHeight="false" outlineLevel="0" collapsed="false">
      <c r="A20" s="8" t="s">
        <v>36</v>
      </c>
      <c r="B20" s="11" t="n">
        <f aca="false">0.4</f>
        <v>0.4</v>
      </c>
    </row>
    <row r="21" customFormat="false" ht="18" hidden="false" customHeight="false" outlineLevel="0" collapsed="false">
      <c r="A21" s="8" t="s">
        <v>37</v>
      </c>
      <c r="B21" s="11" t="n">
        <f aca="false">0.15</f>
        <v>0.15</v>
      </c>
    </row>
    <row r="22" customFormat="false" ht="18" hidden="false" customHeight="false" outlineLevel="0" collapsed="false">
      <c r="A22" s="8" t="s">
        <v>38</v>
      </c>
      <c r="B22" s="11" t="n">
        <f aca="false">0.6</f>
        <v>0.6</v>
      </c>
    </row>
    <row r="23" customFormat="false" ht="18" hidden="false" customHeight="false" outlineLevel="0" collapsed="false">
      <c r="A23" s="8" t="s">
        <v>39</v>
      </c>
      <c r="B23" s="10" t="n">
        <f aca="false">0.25</f>
        <v>0.25</v>
      </c>
    </row>
    <row r="24" customFormat="false" ht="18" hidden="false" customHeight="false" outlineLevel="0" collapsed="false">
      <c r="A24" s="8" t="s">
        <v>40</v>
      </c>
      <c r="B24" s="10" t="n">
        <f aca="false">0.75</f>
        <v>0.75</v>
      </c>
    </row>
    <row r="25" customFormat="false" ht="18" hidden="false" customHeight="false" outlineLevel="0" collapsed="false">
      <c r="A25" s="8" t="s">
        <v>41</v>
      </c>
      <c r="B25" s="10" t="n">
        <f aca="false">0.75</f>
        <v>0.75</v>
      </c>
    </row>
    <row r="26" customFormat="false" ht="18" hidden="false" customHeight="false" outlineLevel="0" collapsed="false">
      <c r="A26" s="8" t="s">
        <v>42</v>
      </c>
      <c r="B26" s="10" t="n">
        <f aca="false">3</f>
        <v>3</v>
      </c>
    </row>
    <row r="27" customFormat="false" ht="18" hidden="false" customHeight="false" outlineLevel="0" collapsed="false">
      <c r="A27" s="8" t="s">
        <v>43</v>
      </c>
      <c r="B27" s="11" t="n">
        <f aca="false">25</f>
        <v>25</v>
      </c>
    </row>
    <row r="28" customFormat="false" ht="18" hidden="false" customHeight="false" outlineLevel="0" collapsed="false">
      <c r="A28" s="8" t="s">
        <v>44</v>
      </c>
      <c r="B28" s="11" t="n">
        <f aca="false">150</f>
        <v>150</v>
      </c>
    </row>
    <row r="29" customFormat="false" ht="18" hidden="false" customHeight="false" outlineLevel="0" collapsed="false">
      <c r="A29" s="8" t="s">
        <v>45</v>
      </c>
      <c r="B29" s="10" t="n">
        <f aca="false">45</f>
        <v>45</v>
      </c>
    </row>
    <row r="30" customFormat="false" ht="18" hidden="false" customHeight="false" outlineLevel="0" collapsed="false">
      <c r="A30" s="8" t="s">
        <v>46</v>
      </c>
      <c r="B30" s="10" t="n">
        <f aca="false">60</f>
        <v>60</v>
      </c>
    </row>
    <row r="31" customFormat="false" ht="18" hidden="false" customHeight="false" outlineLevel="0" collapsed="false">
      <c r="A31" s="8" t="s">
        <v>47</v>
      </c>
      <c r="B31" s="10" t="n">
        <f aca="false">75</f>
        <v>75</v>
      </c>
    </row>
    <row r="32" customFormat="false" ht="18" hidden="false" customHeight="false" outlineLevel="0" collapsed="false">
      <c r="A32" s="8" t="s">
        <v>48</v>
      </c>
      <c r="B32" s="10" t="n">
        <f aca="false">150</f>
        <v>150</v>
      </c>
    </row>
    <row r="33" customFormat="false" ht="18" hidden="false" customHeight="false" outlineLevel="0" collapsed="false">
      <c r="A33" s="8" t="s">
        <v>49</v>
      </c>
      <c r="B33" s="10" t="n">
        <f aca="false">30</f>
        <v>30</v>
      </c>
    </row>
    <row r="34" customFormat="false" ht="18" hidden="false" customHeight="false" outlineLevel="0" collapsed="false">
      <c r="A34" s="8" t="s">
        <v>50</v>
      </c>
      <c r="B34" s="10" t="n">
        <f aca="false">40</f>
        <v>40</v>
      </c>
    </row>
    <row r="35" customFormat="false" ht="18" hidden="false" customHeight="false" outlineLevel="0" collapsed="false">
      <c r="A35" s="8" t="s">
        <v>51</v>
      </c>
      <c r="B35" s="10" t="n">
        <f aca="false">600</f>
        <v>600</v>
      </c>
    </row>
    <row r="36" customFormat="false" ht="18" hidden="false" customHeight="false" outlineLevel="0" collapsed="false">
      <c r="A36" s="8" t="s">
        <v>52</v>
      </c>
      <c r="B36" s="10" t="n">
        <f aca="false">1000</f>
        <v>1000</v>
      </c>
    </row>
    <row r="37" customFormat="false" ht="18" hidden="false" customHeight="false" outlineLevel="0" collapsed="false">
      <c r="A37" s="8" t="s">
        <v>53</v>
      </c>
      <c r="B37" s="10" t="n">
        <f aca="false">150</f>
        <v>150</v>
      </c>
    </row>
    <row r="38" customFormat="false" ht="18" hidden="false" customHeight="false" outlineLevel="0" collapsed="false">
      <c r="A38" s="8" t="s">
        <v>54</v>
      </c>
      <c r="B38" s="10" t="n">
        <f aca="false">300</f>
        <v>300</v>
      </c>
    </row>
    <row r="39" customFormat="false" ht="18" hidden="false" customHeight="false" outlineLevel="0" collapsed="false">
      <c r="A39" s="8" t="s">
        <v>55</v>
      </c>
      <c r="B39" s="10" t="n">
        <f aca="false">40</f>
        <v>40</v>
      </c>
    </row>
    <row r="40" customFormat="false" ht="18" hidden="false" customHeight="false" outlineLevel="0" collapsed="false">
      <c r="A40" s="8" t="s">
        <v>56</v>
      </c>
      <c r="B40" s="10" t="n">
        <f aca="false">65</f>
        <v>65</v>
      </c>
    </row>
    <row r="41" customFormat="false" ht="18" hidden="false" customHeight="false" outlineLevel="0" collapsed="false">
      <c r="A41" s="6" t="s">
        <v>57</v>
      </c>
      <c r="B41" s="12" t="n">
        <f aca="false">2500</f>
        <v>2500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4" min="2" style="0" width="19"/>
  </cols>
  <sheetData>
    <row r="1" customFormat="false" ht="31.5" hidden="false" customHeight="true" outlineLevel="0" collapsed="false">
      <c r="A1" s="2" t="s">
        <v>58</v>
      </c>
      <c r="B1" s="2"/>
      <c r="C1" s="2"/>
      <c r="D1" s="2"/>
    </row>
    <row r="2" customFormat="false" ht="19.5" hidden="false" customHeight="true" outlineLevel="0" collapsed="false">
      <c r="A2" s="3" t="s">
        <v>18</v>
      </c>
    </row>
    <row r="4" customFormat="false" ht="21.75" hidden="false" customHeight="true" outlineLevel="0" collapsed="false">
      <c r="A4" s="4" t="s">
        <v>19</v>
      </c>
      <c r="B4" s="5" t="s">
        <v>20</v>
      </c>
      <c r="C4" s="5" t="s">
        <v>59</v>
      </c>
      <c r="D4" s="5" t="s">
        <v>60</v>
      </c>
    </row>
    <row r="5" customFormat="false" ht="18" hidden="false" customHeight="false" outlineLevel="0" collapsed="false">
      <c r="A5" s="6" t="s">
        <v>61</v>
      </c>
      <c r="B5" s="7" t="n">
        <f aca="false">'PM Hypothetical assumptions'!B5*(1-'PM Hypothetical assumptions'!B6)</f>
        <v>0</v>
      </c>
      <c r="C5" s="7" t="n">
        <f aca="false">'Model inputs'!B7*(1-'Model inputs'!B141)</f>
        <v>80</v>
      </c>
      <c r="D5" s="7" t="n">
        <f aca="false">'Model inputs'!B8*(1-'Model inputs'!B142)</f>
        <v>400</v>
      </c>
    </row>
    <row r="6" customFormat="false" ht="18" hidden="false" customHeight="false" outlineLevel="0" collapsed="false">
      <c r="A6" s="8" t="s">
        <v>62</v>
      </c>
      <c r="B6" s="11" t="n">
        <f aca="false">'PM Hypothetical assumptions'!B5*'PM Hypothetical assumptions'!B6</f>
        <v>0</v>
      </c>
      <c r="C6" s="11" t="n">
        <f aca="false">'Model inputs'!B7*'Model inputs'!B141</f>
        <v>20</v>
      </c>
      <c r="D6" s="11" t="n">
        <f aca="false">'Model inputs'!B8*'Model inputs'!B142</f>
        <v>100</v>
      </c>
    </row>
    <row r="7" customFormat="false" ht="18" hidden="false" customHeight="false" outlineLevel="0" collapsed="false">
      <c r="A7" s="8" t="s">
        <v>63</v>
      </c>
      <c r="B7" s="10" t="n">
        <f aca="false">'PM Hypothetical assumptions'!B7*(1-'PM Hypothetical assumptions'!B6)+'PM Hypothetical assumptions'!B8*'PM Hypothetical assumptions'!B6</f>
        <v>35</v>
      </c>
      <c r="C7" s="10" t="n">
        <f aca="false">'Model inputs'!B60*(1-'Model inputs'!B141)+'Model inputs'!B135*'Model inputs'!B141</f>
        <v>35</v>
      </c>
      <c r="D7" s="10" t="n">
        <f aca="false">'Model inputs'!B61*(1-'Model inputs'!B142)+'Model inputs'!B136*'Model inputs'!B142</f>
        <v>35</v>
      </c>
    </row>
    <row r="8" customFormat="false" ht="18" hidden="false" customHeight="false" outlineLevel="0" collapsed="false">
      <c r="A8" s="8" t="s">
        <v>64</v>
      </c>
      <c r="B8" s="11" t="n">
        <f aca="false">'PM Hypothetical assumptions'!B9*(1-'PM Hypothetical assumptions'!B6)+'PM Hypothetical assumptions'!B10*'PM Hypothetical assumptions'!B6</f>
        <v>36</v>
      </c>
      <c r="C8" s="11" t="n">
        <f aca="false">'Model inputs'!B63*(1-'Model inputs'!B141)+'Model inputs'!B138*'Model inputs'!B141</f>
        <v>36</v>
      </c>
      <c r="D8" s="11" t="n">
        <f aca="false">'Model inputs'!B64*(1-'Model inputs'!B142)+'Model inputs'!B139*'Model inputs'!B142</f>
        <v>36</v>
      </c>
    </row>
    <row r="9" customFormat="false" ht="18" hidden="false" customHeight="false" outlineLevel="0" collapsed="false">
      <c r="A9" s="8" t="s">
        <v>65</v>
      </c>
      <c r="B9" s="10" t="n">
        <f aca="false">'PM Hypothetical assumptions'!B5*'PM Monthly economics'!B7</f>
        <v>0</v>
      </c>
      <c r="C9" s="10" t="n">
        <f aca="false">'Model inputs'!B7*'PM Monthly economics'!C7</f>
        <v>3500</v>
      </c>
      <c r="D9" s="10" t="n">
        <f aca="false">'Model inputs'!B8*'PM Monthly economics'!D7</f>
        <v>17500</v>
      </c>
    </row>
    <row r="10" customFormat="false" ht="18" hidden="false" customHeight="false" outlineLevel="0" collapsed="false">
      <c r="A10" s="8" t="s">
        <v>66</v>
      </c>
      <c r="B10" s="10" t="n">
        <f aca="false">'PM Monthly economics'!B9*12</f>
        <v>0</v>
      </c>
      <c r="C10" s="10" t="n">
        <f aca="false">'PM Monthly economics'!C9*12</f>
        <v>42000</v>
      </c>
      <c r="D10" s="10" t="n">
        <f aca="false">'PM Monthly economics'!D9*12</f>
        <v>210000</v>
      </c>
    </row>
    <row r="11" customFormat="false" ht="18" hidden="false" customHeight="false" outlineLevel="0" collapsed="false">
      <c r="A11" s="8" t="s">
        <v>67</v>
      </c>
      <c r="B11" s="11" t="n">
        <f aca="false">'PM Hypothetical assumptions'!B5*'PM Hypothetical assumptions'!B15</f>
        <v>0</v>
      </c>
      <c r="C11" s="11" t="n">
        <f aca="false">'Model inputs'!B7*'Model inputs'!B114</f>
        <v>3</v>
      </c>
      <c r="D11" s="11" t="n">
        <f aca="false">'Model inputs'!B8*'Model inputs'!B115</f>
        <v>15</v>
      </c>
    </row>
    <row r="12" customFormat="false" ht="18" hidden="false" customHeight="false" outlineLevel="0" collapsed="false">
      <c r="A12" s="8" t="s">
        <v>68</v>
      </c>
      <c r="B12" s="11" t="n">
        <f aca="false">'PM Monthly economics'!B8*'PM Hypothetical assumptions'!B12</f>
        <v>1.8</v>
      </c>
      <c r="C12" s="11" t="n">
        <f aca="false">'PM Monthly economics'!C8*'Model inputs'!B123</f>
        <v>1.8</v>
      </c>
      <c r="D12" s="11" t="n">
        <f aca="false">'PM Monthly economics'!D8*'Model inputs'!B124</f>
        <v>1.8</v>
      </c>
    </row>
    <row r="13" customFormat="false" ht="18" hidden="false" customHeight="false" outlineLevel="0" collapsed="false">
      <c r="A13" s="8" t="s">
        <v>69</v>
      </c>
      <c r="B13" s="11" t="n">
        <f aca="false">'PM Monthly economics'!B7*'PM Hypothetical assumptions'!B16+'PM Hypothetical assumptions'!B17</f>
        <v>1.315</v>
      </c>
      <c r="C13" s="11" t="n">
        <f aca="false">'PM Monthly economics'!C7*'Model inputs'!B120+'Model inputs'!B117</f>
        <v>1.315</v>
      </c>
      <c r="D13" s="11" t="n">
        <f aca="false">'PM Monthly economics'!D7*'Model inputs'!B121+'Model inputs'!B118</f>
        <v>1.315</v>
      </c>
    </row>
    <row r="14" customFormat="false" ht="18" hidden="false" customHeight="false" outlineLevel="0" collapsed="false">
      <c r="A14" s="8" t="s">
        <v>70</v>
      </c>
      <c r="B14" s="10" t="n">
        <f aca="false">('PM Hypothetical assumptions'!B19*(1-'PM Hypothetical assumptions'!B6)+'PM Hypothetical assumptions'!B20*'PM Hypothetical assumptions'!B6)*'PM Hypothetical assumptions'!B18</f>
        <v>4</v>
      </c>
      <c r="C14" s="10" t="n">
        <f aca="false">('Model inputs'!B81*(1-'Model inputs'!B141)+'Model inputs'!B111*'Model inputs'!B141)*'Model inputs'!B132</f>
        <v>4</v>
      </c>
      <c r="D14" s="10" t="n">
        <f aca="false">('Model inputs'!B82*(1-'Model inputs'!B142)+'Model inputs'!B112*'Model inputs'!B142)*'Model inputs'!B133</f>
        <v>4</v>
      </c>
    </row>
    <row r="15" customFormat="false" ht="18" hidden="false" customHeight="false" outlineLevel="0" collapsed="false">
      <c r="A15" s="8" t="s">
        <v>71</v>
      </c>
      <c r="B15" s="10" t="n">
        <f aca="false">'PM Hypothetical assumptions'!B23*(1-'PM Hypothetical assumptions'!B6)+'PM Hypothetical assumptions'!B24*'PM Hypothetical assumptions'!B6</f>
        <v>0.35</v>
      </c>
      <c r="C15" s="10" t="n">
        <f aca="false">'Model inputs'!B78*(1-'Model inputs'!B141)+'Model inputs'!B108*'Model inputs'!B141</f>
        <v>0.35</v>
      </c>
      <c r="D15" s="10" t="n">
        <f aca="false">'Model inputs'!B79*(1-'Model inputs'!B142)+'Model inputs'!B109*'Model inputs'!B142</f>
        <v>0.35</v>
      </c>
    </row>
    <row r="16" customFormat="false" ht="18" hidden="false" customHeight="false" outlineLevel="0" collapsed="false">
      <c r="A16" s="8" t="s">
        <v>72</v>
      </c>
      <c r="B16" s="10" t="n">
        <f aca="false">'PM Monthly economics'!B12+'PM Monthly economics'!B13+'PM Monthly economics'!B14+'PM Monthly economics'!B15</f>
        <v>7.465</v>
      </c>
      <c r="C16" s="10" t="n">
        <f aca="false">'PM Monthly economics'!C12+'PM Monthly economics'!C13+'PM Monthly economics'!C14+'PM Monthly economics'!C15</f>
        <v>7.465</v>
      </c>
      <c r="D16" s="10" t="n">
        <f aca="false">'PM Monthly economics'!D12+'PM Monthly economics'!D13+'PM Monthly economics'!D14+'PM Monthly economics'!D15</f>
        <v>7.465</v>
      </c>
    </row>
    <row r="17" customFormat="false" ht="18" hidden="false" customHeight="false" outlineLevel="0" collapsed="false">
      <c r="A17" s="8" t="s">
        <v>73</v>
      </c>
      <c r="B17" s="11" t="n">
        <f aca="false">'PM Monthly economics'!B7-'PM Monthly economics'!B16</f>
        <v>27.535</v>
      </c>
      <c r="C17" s="11" t="n">
        <f aca="false">'PM Monthly economics'!C7-'PM Monthly economics'!C16</f>
        <v>27.535</v>
      </c>
      <c r="D17" s="11" t="n">
        <f aca="false">'PM Monthly economics'!D7-'PM Monthly economics'!D16</f>
        <v>27.535</v>
      </c>
    </row>
    <row r="18" customFormat="false" ht="18" hidden="false" customHeight="false" outlineLevel="0" collapsed="false">
      <c r="A18" s="8" t="s">
        <v>74</v>
      </c>
      <c r="B18" s="10" t="n">
        <f aca="false">'PM Hypothetical assumptions'!B5*'PM Monthly economics'!B16+'PM Hypothetical assumptions'!B27</f>
        <v>25</v>
      </c>
      <c r="C18" s="10" t="n">
        <f aca="false">'Model inputs'!B7*'PM Monthly economics'!C16+'Model inputs'!B69</f>
        <v>771.5</v>
      </c>
      <c r="D18" s="10" t="n">
        <f aca="false">'Model inputs'!B8*'PM Monthly economics'!D16+'Model inputs'!B70</f>
        <v>3757.5</v>
      </c>
    </row>
    <row r="19" customFormat="false" ht="18" hidden="false" customHeight="false" outlineLevel="0" collapsed="false">
      <c r="A19" s="8" t="s">
        <v>75</v>
      </c>
      <c r="B19" s="10" t="n">
        <f aca="false">'PM Monthly economics'!B9-'PM Monthly economics'!B18</f>
        <v>-25</v>
      </c>
      <c r="C19" s="10" t="n">
        <f aca="false">'PM Monthly economics'!C9-'PM Monthly economics'!C18</f>
        <v>2728.5</v>
      </c>
      <c r="D19" s="10" t="n">
        <f aca="false">'PM Monthly economics'!D9-'PM Monthly economics'!D18</f>
        <v>13742.5</v>
      </c>
    </row>
    <row r="20" customFormat="false" ht="18" hidden="false" customHeight="false" outlineLevel="0" collapsed="false">
      <c r="A20" s="8" t="s">
        <v>76</v>
      </c>
      <c r="B20" s="9" t="str">
        <f aca="false">IFERROR('PM Monthly economics'!B19/'PM Monthly economics'!B9,"")</f>
        <v/>
      </c>
      <c r="C20" s="9" t="n">
        <f aca="false">IFERROR('PM Monthly economics'!C19/'PM Monthly economics'!C9,"")</f>
        <v>0.779571428571429</v>
      </c>
      <c r="D20" s="9" t="n">
        <f aca="false">IFERROR('PM Monthly economics'!D19/'PM Monthly economics'!D9,"")</f>
        <v>0.785285714285714</v>
      </c>
    </row>
    <row r="21" customFormat="false" ht="18" hidden="false" customHeight="false" outlineLevel="0" collapsed="false">
      <c r="A21" s="8" t="s">
        <v>77</v>
      </c>
      <c r="B21" s="10" t="n">
        <f aca="false">'PM Monthly economics'!B11*'PM Hypothetical assumptions'!B39</f>
        <v>0</v>
      </c>
      <c r="C21" s="10" t="n">
        <f aca="false">'PM Monthly economics'!C11*'Model inputs'!B102</f>
        <v>120</v>
      </c>
      <c r="D21" s="10" t="n">
        <f aca="false">'PM Monthly economics'!D11*'Model inputs'!B103</f>
        <v>600</v>
      </c>
    </row>
    <row r="22" customFormat="false" ht="18" hidden="false" customHeight="false" outlineLevel="0" collapsed="false">
      <c r="A22" s="8" t="s">
        <v>78</v>
      </c>
      <c r="B22" s="10" t="n">
        <f aca="false">'PM Hypothetical assumptions'!B29+'PM Hypothetical assumptions'!B31+'PM Hypothetical assumptions'!B33+'PM Hypothetical assumptions'!B35+'PM Hypothetical assumptions'!B37</f>
        <v>900</v>
      </c>
      <c r="C22" s="10" t="n">
        <f aca="false">'Model inputs'!B105+'Model inputs'!B84+'Model inputs'!B66+'Model inputs'!B72+'Model inputs'!B75</f>
        <v>900</v>
      </c>
      <c r="D22" s="10" t="n">
        <f aca="false">'Model inputs'!B106+'Model inputs'!B85+'Model inputs'!B67+'Model inputs'!B73+'Model inputs'!B76</f>
        <v>900</v>
      </c>
    </row>
    <row r="23" customFormat="false" ht="18" hidden="false" customHeight="false" outlineLevel="0" collapsed="false">
      <c r="A23" s="8" t="s">
        <v>79</v>
      </c>
      <c r="B23" s="10" t="n">
        <f aca="false">'PM Tax reserve calculation'!B5+'PM Tax reserve calculation'!B6</f>
        <v>925</v>
      </c>
      <c r="C23" s="10" t="n">
        <f aca="false">'Model inputs'!B96+'Model inputs'!B87</f>
        <v>2133.2</v>
      </c>
      <c r="D23" s="10" t="n">
        <f aca="false">'Model inputs'!B97+'Model inputs'!B88</f>
        <v>7706</v>
      </c>
    </row>
    <row r="24" customFormat="false" ht="18" hidden="false" customHeight="false" outlineLevel="0" collapsed="false">
      <c r="A24" s="8" t="s">
        <v>80</v>
      </c>
      <c r="B24" s="10" t="n">
        <f aca="false">'PM Monthly economics'!B23-'PM Monthly economics'!B9</f>
        <v>925</v>
      </c>
      <c r="C24" s="10" t="n">
        <f aca="false">'PM Monthly economics'!C23-'PM Monthly economics'!C9</f>
        <v>-1366.8</v>
      </c>
      <c r="D24" s="10" t="n">
        <f aca="false">'PM Monthly economics'!D23-'PM Monthly economics'!D9</f>
        <v>-9794</v>
      </c>
    </row>
    <row r="25" customFormat="false" ht="18" hidden="false" customHeight="false" outlineLevel="0" collapsed="false">
      <c r="A25" s="8" t="s">
        <v>81</v>
      </c>
      <c r="B25" s="10" t="n">
        <f aca="false">-'PM Monthly economics'!B24</f>
        <v>-925</v>
      </c>
      <c r="C25" s="10" t="n">
        <f aca="false">-'PM Monthly economics'!C24</f>
        <v>1366.8</v>
      </c>
      <c r="D25" s="10" t="n">
        <f aca="false">-'PM Monthly economics'!D24</f>
        <v>9794</v>
      </c>
    </row>
    <row r="26" customFormat="false" ht="18" hidden="false" customHeight="false" outlineLevel="0" collapsed="false">
      <c r="A26" s="8" t="s">
        <v>82</v>
      </c>
      <c r="B26" s="10" t="n">
        <f aca="false">'PM Monthly economics'!B25-('PM Hypothetical assumptions'!B41-'PM Hypothetical assumptions'!B35)</f>
        <v>-2825</v>
      </c>
      <c r="C26" s="10" t="n">
        <f aca="false">'PM Monthly economics'!C25-('Model inputs'!B9-'Model inputs'!B72)</f>
        <v>-533.2</v>
      </c>
      <c r="D26" s="10" t="n">
        <f aca="false">'PM Monthly economics'!D25-('Model inputs'!B10-'Model inputs'!B73)</f>
        <v>7894</v>
      </c>
    </row>
    <row r="27" customFormat="false" ht="18" hidden="false" customHeight="false" outlineLevel="0" collapsed="false">
      <c r="A27" s="8" t="s">
        <v>83</v>
      </c>
      <c r="B27" s="11" t="n">
        <f aca="false">IF(IF(IF(ISERROR('PM Monthly economics'!B24&gt;0),'PM Monthly economics'!B24&gt;0,IF('PM Monthly economics'!B24="","",'PM Monthly economics'!B24&gt;0))="",FALSE(),IF(ISERROR('PM Monthly economics'!B24&gt;0),'PM Monthly economics'!B24&gt;0,IF('PM Monthly economics'!B24="","",'PM Monthly economics'!B24&gt;0))),'PM Hypothetical assumptions'!B13/'PM Monthly economics'!B24,"")</f>
        <v>5.40540540540541</v>
      </c>
      <c r="C27" s="11" t="str">
        <f aca="false">IF(IF(IF(ISERROR('PM Monthly economics'!C24&gt;0),'PM Monthly economics'!C24&gt;0,IF('PM Monthly economics'!C24="","",'PM Monthly economics'!C24&gt;0))="",FALSE(),IF(ISERROR('PM Monthly economics'!C24&gt;0),'PM Monthly economics'!C24&gt;0,IF('PM Monthly economics'!C24="","",'PM Monthly economics'!C24&gt;0))),'Model inputs'!B127/'PM Monthly economics'!C24,"")</f>
        <v/>
      </c>
      <c r="D27" s="11" t="str">
        <f aca="false">IF(IF(IF(ISERROR('PM Monthly economics'!D24&gt;0),'PM Monthly economics'!D24&gt;0,IF('PM Monthly economics'!D24="","",'PM Monthly economics'!D24&gt;0))="",FALSE(),IF(ISERROR('PM Monthly economics'!D24&gt;0),'PM Monthly economics'!D24&gt;0,IF('PM Monthly economics'!D24="","",'PM Monthly economics'!D24&gt;0))),'Model inputs'!B129/'PM Monthly economics'!D24,"")</f>
        <v/>
      </c>
    </row>
    <row r="28" customFormat="false" ht="18" hidden="false" customHeight="false" outlineLevel="0" collapsed="false">
      <c r="A28" s="8" t="s">
        <v>84</v>
      </c>
      <c r="B28" s="11" t="str">
        <f aca="false">IF(IF(IF(ISERROR('PM Monthly economics'!B24&gt;0),'PM Monthly economics'!B24&gt;0,IF('PM Monthly economics'!B24="","",'PM Monthly economics'!B24&gt;0))="",FALSE(),IF(ISERROR('PM Monthly economics'!B24&gt;0),'PM Monthly economics'!B24&gt;0,IF('PM Monthly economics'!B24="","",'PM Monthly economics'!B24&gt;0))),"Finite cash runway","No finite cash-runway limit")</f>
        <v>Finite cash runway</v>
      </c>
      <c r="C28" s="11" t="str">
        <f aca="false">IF(IF(IF(ISERROR('PM Monthly economics'!C24&gt;0),'PM Monthly economics'!C24&gt;0,IF('PM Monthly economics'!C24="","",'PM Monthly economics'!C24&gt;0))="",FALSE(),IF(ISERROR('PM Monthly economics'!C24&gt;0),'PM Monthly economics'!C24&gt;0,IF('PM Monthly economics'!C24="","",'PM Monthly economics'!C24&gt;0))),"Finite cash runway","No finite cash-runway limit")</f>
        <v>No finite cash-runway limit</v>
      </c>
      <c r="D28" s="11" t="str">
        <f aca="false">IF(IF(IF(ISERROR('PM Monthly economics'!D24&gt;0),'PM Monthly economics'!D24&gt;0,IF('PM Monthly economics'!D24="","",'PM Monthly economics'!D24&gt;0))="",FALSE(),IF(ISERROR('PM Monthly economics'!D24&gt;0),'PM Monthly economics'!D24&gt;0,IF('PM Monthly economics'!D24="","",'PM Monthly economics'!D24&gt;0))),"Finite cash runway","No finite cash-runway limit")</f>
        <v>No finite cash-runway limit</v>
      </c>
    </row>
    <row r="29" customFormat="false" ht="18" hidden="false" customHeight="false" outlineLevel="0" collapsed="false">
      <c r="A29" s="8" t="s">
        <v>85</v>
      </c>
      <c r="B29" s="11" t="n">
        <f aca="false">IF(IF(IF(ISERROR('PM Monthly economics'!B24&gt;0),'PM Monthly economics'!B24&gt;0,IF('PM Monthly economics'!B24="","",'PM Monthly economics'!B24&gt;0))="",FALSE(),IF(ISERROR('PM Monthly economics'!B24&gt;0),'PM Monthly economics'!B24&gt;0,IF('PM Monthly economics'!B24="","",'PM Monthly economics'!B24&gt;0))),('PM Hypothetical assumptions'!B13-'PM Hypothetical assumptions'!B14)/'PM Monthly economics'!B24,"")</f>
        <v>3.78378378378378</v>
      </c>
      <c r="C29" s="11" t="str">
        <f aca="false">IF(IF(IF(ISERROR('PM Monthly economics'!C24&gt;0),'PM Monthly economics'!C24&gt;0,IF('PM Monthly economics'!C24="","",'PM Monthly economics'!C24&gt;0))="",FALSE(),IF(ISERROR('PM Monthly economics'!C24&gt;0),'PM Monthly economics'!C24&gt;0,IF('PM Monthly economics'!C24="","",'PM Monthly economics'!C24&gt;0))),('Model inputs'!B127-'Model inputs'!B145)/'PM Monthly economics'!C24,"")</f>
        <v/>
      </c>
      <c r="D29" s="11" t="str">
        <f aca="false">IF(IF(IF(ISERROR('PM Monthly economics'!D24&gt;0),'PM Monthly economics'!D24&gt;0,IF('PM Monthly economics'!D24="","",'PM Monthly economics'!D24&gt;0))="",FALSE(),IF(ISERROR('PM Monthly economics'!D24&gt;0),'PM Monthly economics'!D24&gt;0,IF('PM Monthly economics'!D24="","",'PM Monthly economics'!D24&gt;0))),('Model inputs'!B129-'Model inputs'!B147)/'PM Monthly economics'!D24,"")</f>
        <v/>
      </c>
    </row>
    <row r="30" customFormat="false" ht="18" hidden="false" customHeight="false" outlineLevel="0" collapsed="false">
      <c r="A30" s="8" t="s">
        <v>86</v>
      </c>
      <c r="B30" s="11" t="n">
        <f aca="false">IF(IF('PM Monthly economics'!B17-'PM Hypothetical assumptions'!B15*'PM Hypothetical assumptions'!B39&gt;0="",FALSE(),'PM Monthly economics'!B17-'PM Hypothetical assumptions'!B15*'PM Hypothetical assumptions'!B39&gt;0),CEILING(('PM Hypothetical assumptions'!B27+'PM Monthly economics'!B22)/('PM Monthly economics'!B17-'PM Hypothetical assumptions'!B15*'PM Hypothetical assumptions'!B39),1),"")</f>
        <v>36</v>
      </c>
      <c r="C30" s="11" t="n">
        <f aca="false">IF(IF('PM Monthly economics'!C17-'Model inputs'!B114*'Model inputs'!B102&gt;0="",FALSE(),'PM Monthly economics'!C17-'Model inputs'!B114*'Model inputs'!B102&gt;0),CEILING(('Model inputs'!B69+'PM Monthly economics'!C22)/('PM Monthly economics'!C17-'Model inputs'!B114*'Model inputs'!B102),1),"")</f>
        <v>36</v>
      </c>
      <c r="D30" s="11" t="n">
        <f aca="false">IF(IF('PM Monthly economics'!D17-'Model inputs'!B115*'Model inputs'!B103&gt;0="",FALSE(),'PM Monthly economics'!D17-'Model inputs'!B115*'Model inputs'!B103&gt;0),CEILING(('Model inputs'!B70+'PM Monthly economics'!D22)/('PM Monthly economics'!D17-'Model inputs'!B115*'Model inputs'!B103),1),"")</f>
        <v>36</v>
      </c>
    </row>
    <row r="31" customFormat="false" ht="18" hidden="false" customHeight="false" outlineLevel="0" collapsed="false">
      <c r="A31" s="8" t="s">
        <v>87</v>
      </c>
      <c r="B31" s="11" t="n">
        <f aca="false">IF(IF(IF(ISERROR('PM Monthly economics'!B17&gt;0),'PM Monthly economics'!B17&gt;0,IF('PM Monthly economics'!B17="","",'PM Monthly economics'!B17&gt;0))="",FALSE(),IF(ISERROR('PM Monthly economics'!B17&gt;0),'PM Monthly economics'!B17&gt;0,IF('PM Monthly economics'!B17="","",'PM Monthly economics'!B17&gt;0))),'PM Hypothetical assumptions'!B39/'PM Monthly economics'!B17,"")</f>
        <v>1.45269656800436</v>
      </c>
      <c r="C31" s="11" t="n">
        <f aca="false">IF(IF(IF(ISERROR('PM Monthly economics'!C17&gt;0),'PM Monthly economics'!C17&gt;0,IF('PM Monthly economics'!C17="","",'PM Monthly economics'!C17&gt;0))="",FALSE(),IF(ISERROR('PM Monthly economics'!C17&gt;0),'PM Monthly economics'!C17&gt;0,IF('PM Monthly economics'!C17="","",'PM Monthly economics'!C17&gt;0))),'Model inputs'!B102/'PM Monthly economics'!C17,"")</f>
        <v>1.45269656800436</v>
      </c>
      <c r="D31" s="11" t="n">
        <f aca="false">IF(IF(IF(ISERROR('PM Monthly economics'!D17&gt;0),'PM Monthly economics'!D17&gt;0,IF('PM Monthly economics'!D17="","",'PM Monthly economics'!D17&gt;0))="",FALSE(),IF(ISERROR('PM Monthly economics'!D17&gt;0),'PM Monthly economics'!D17&gt;0,IF('PM Monthly economics'!D17="","",'PM Monthly economics'!D17&gt;0))),'Model inputs'!B103/'PM Monthly economics'!D17,"")</f>
        <v>1.45269656800436</v>
      </c>
    </row>
    <row r="32" customFormat="false" ht="18" hidden="false" customHeight="false" outlineLevel="0" collapsed="false">
      <c r="A32" s="8" t="s">
        <v>88</v>
      </c>
      <c r="B32" s="10" t="n">
        <f aca="false">('PM Hypothetical assumptions'!B21*(1-'PM Hypothetical assumptions'!B6)+'PM Hypothetical assumptions'!B22*'PM Hypothetical assumptions'!B6)*'PM Hypothetical assumptions'!B18</f>
        <v>6</v>
      </c>
      <c r="C32" s="10" t="n">
        <f aca="false">('Model inputs'!B27*(1-'Model inputs'!B141)+'Model inputs'!B57*'Model inputs'!B141)*'Model inputs'!B132</f>
        <v>6</v>
      </c>
      <c r="D32" s="10" t="n">
        <f aca="false">('Model inputs'!B28*(1-'Model inputs'!B142)+'Model inputs'!B58*'Model inputs'!B142)*'Model inputs'!B133</f>
        <v>6</v>
      </c>
    </row>
    <row r="33" customFormat="false" ht="18" hidden="false" customHeight="false" outlineLevel="0" collapsed="false">
      <c r="A33" s="8" t="s">
        <v>89</v>
      </c>
      <c r="B33" s="10" t="n">
        <f aca="false">'PM Hypothetical assumptions'!B25*(1-'PM Hypothetical assumptions'!B6)+'PM Hypothetical assumptions'!B26*'PM Hypothetical assumptions'!B6</f>
        <v>1.2</v>
      </c>
      <c r="C33" s="10" t="n">
        <f aca="false">'Model inputs'!B24*(1-'Model inputs'!B141)+'Model inputs'!B54*'Model inputs'!B141</f>
        <v>1.2</v>
      </c>
      <c r="D33" s="10" t="n">
        <f aca="false">'Model inputs'!B25*(1-'Model inputs'!B142)+'Model inputs'!B55*'Model inputs'!B142</f>
        <v>1.2</v>
      </c>
    </row>
    <row r="34" customFormat="false" ht="18" hidden="false" customHeight="false" outlineLevel="0" collapsed="false">
      <c r="A34" s="8" t="s">
        <v>90</v>
      </c>
      <c r="B34" s="10" t="n">
        <f aca="false">'PM Monthly economics'!B12+'PM Monthly economics'!B13+'PM Monthly economics'!B32+'PM Monthly economics'!B33</f>
        <v>10.315</v>
      </c>
      <c r="C34" s="10" t="n">
        <f aca="false">'PM Monthly economics'!C12+'PM Monthly economics'!C13+'PM Monthly economics'!C32+'PM Monthly economics'!C33</f>
        <v>10.315</v>
      </c>
      <c r="D34" s="10" t="n">
        <f aca="false">'PM Monthly economics'!D12+'PM Monthly economics'!D13+'PM Monthly economics'!D32+'PM Monthly economics'!D33</f>
        <v>10.315</v>
      </c>
    </row>
    <row r="35" customFormat="false" ht="18" hidden="false" customHeight="false" outlineLevel="0" collapsed="false">
      <c r="A35" s="8" t="s">
        <v>91</v>
      </c>
      <c r="B35" s="11" t="n">
        <f aca="false">'PM Monthly economics'!B7-'PM Monthly economics'!B34</f>
        <v>24.685</v>
      </c>
      <c r="C35" s="11" t="n">
        <f aca="false">'PM Monthly economics'!C7-'PM Monthly economics'!C34</f>
        <v>24.685</v>
      </c>
      <c r="D35" s="11" t="n">
        <f aca="false">'PM Monthly economics'!D7-'PM Monthly economics'!D34</f>
        <v>24.685</v>
      </c>
    </row>
    <row r="36" customFormat="false" ht="18" hidden="false" customHeight="false" outlineLevel="0" collapsed="false">
      <c r="A36" s="8" t="s">
        <v>92</v>
      </c>
      <c r="B36" s="10" t="n">
        <f aca="false">'PM Hypothetical assumptions'!B5*'PM Monthly economics'!B34+'PM Hypothetical assumptions'!B28</f>
        <v>150</v>
      </c>
      <c r="C36" s="10" t="n">
        <f aca="false">'Model inputs'!B7*'PM Monthly economics'!C34+'Model inputs'!B15</f>
        <v>1181.5</v>
      </c>
      <c r="D36" s="10" t="n">
        <f aca="false">'Model inputs'!B8*'PM Monthly economics'!D34+'Model inputs'!B16</f>
        <v>5307.5</v>
      </c>
    </row>
    <row r="37" customFormat="false" ht="18" hidden="false" customHeight="false" outlineLevel="0" collapsed="false">
      <c r="A37" s="8" t="s">
        <v>93</v>
      </c>
      <c r="B37" s="10" t="n">
        <f aca="false">'PM Monthly economics'!B9-'PM Monthly economics'!B36</f>
        <v>-150</v>
      </c>
      <c r="C37" s="10" t="n">
        <f aca="false">'PM Monthly economics'!C9-'PM Monthly economics'!C36</f>
        <v>2318.5</v>
      </c>
      <c r="D37" s="10" t="n">
        <f aca="false">'PM Monthly economics'!D9-'PM Monthly economics'!D36</f>
        <v>12192.5</v>
      </c>
    </row>
    <row r="38" customFormat="false" ht="18" hidden="false" customHeight="false" outlineLevel="0" collapsed="false">
      <c r="A38" s="8" t="s">
        <v>94</v>
      </c>
      <c r="B38" s="9" t="str">
        <f aca="false">IFERROR('PM Monthly economics'!B37/'PM Monthly economics'!B9,"")</f>
        <v/>
      </c>
      <c r="C38" s="9" t="n">
        <f aca="false">IFERROR('PM Monthly economics'!C37/'PM Monthly economics'!C9,"")</f>
        <v>0.662428571428572</v>
      </c>
      <c r="D38" s="9" t="n">
        <f aca="false">IFERROR('PM Monthly economics'!D37/'PM Monthly economics'!D9,"")</f>
        <v>0.696714285714286</v>
      </c>
    </row>
    <row r="39" customFormat="false" ht="18" hidden="false" customHeight="false" outlineLevel="0" collapsed="false">
      <c r="A39" s="8" t="s">
        <v>95</v>
      </c>
      <c r="B39" s="10" t="n">
        <f aca="false">'PM Monthly economics'!B11*'PM Hypothetical assumptions'!B40</f>
        <v>0</v>
      </c>
      <c r="C39" s="10" t="n">
        <f aca="false">'PM Monthly economics'!C11*'Model inputs'!B48</f>
        <v>195</v>
      </c>
      <c r="D39" s="10" t="n">
        <f aca="false">'PM Monthly economics'!D11*'Model inputs'!B49</f>
        <v>975</v>
      </c>
    </row>
    <row r="40" customFormat="false" ht="18" hidden="false" customHeight="false" outlineLevel="0" collapsed="false">
      <c r="A40" s="8" t="s">
        <v>96</v>
      </c>
      <c r="B40" s="10" t="n">
        <f aca="false">'PM Hypothetical assumptions'!B30+'PM Hypothetical assumptions'!B32+'PM Hypothetical assumptions'!B34+'PM Hypothetical assumptions'!B36+'PM Hypothetical assumptions'!B38</f>
        <v>1550</v>
      </c>
      <c r="C40" s="10" t="n">
        <f aca="false">'Model inputs'!B51+'Model inputs'!B30+'Model inputs'!B12+'Model inputs'!B18+'Model inputs'!B21</f>
        <v>1550</v>
      </c>
      <c r="D40" s="10" t="n">
        <f aca="false">'Model inputs'!B52+'Model inputs'!B31+'Model inputs'!B13+'Model inputs'!B19+'Model inputs'!B22</f>
        <v>1550</v>
      </c>
    </row>
    <row r="41" customFormat="false" ht="18" hidden="false" customHeight="false" outlineLevel="0" collapsed="false">
      <c r="A41" s="8" t="s">
        <v>97</v>
      </c>
      <c r="B41" s="10" t="n">
        <f aca="false">'PM Tax reserve calculation'!B7+'PM Tax reserve calculation'!B8</f>
        <v>1700</v>
      </c>
      <c r="C41" s="10" t="n">
        <f aca="false">'Model inputs'!B42+'Model inputs'!B33</f>
        <v>3041.2</v>
      </c>
      <c r="D41" s="10" t="n">
        <f aca="false">'Model inputs'!B43+'Model inputs'!B34</f>
        <v>9766</v>
      </c>
    </row>
    <row r="42" customFormat="false" ht="18" hidden="false" customHeight="false" outlineLevel="0" collapsed="false">
      <c r="A42" s="8" t="s">
        <v>98</v>
      </c>
      <c r="B42" s="10" t="n">
        <f aca="false">'PM Monthly economics'!B41-'PM Monthly economics'!B9</f>
        <v>1700</v>
      </c>
      <c r="C42" s="10" t="n">
        <f aca="false">'PM Monthly economics'!C41-'PM Monthly economics'!C9</f>
        <v>-458.8</v>
      </c>
      <c r="D42" s="10" t="n">
        <f aca="false">'PM Monthly economics'!D41-'PM Monthly economics'!D9</f>
        <v>-7734</v>
      </c>
    </row>
    <row r="43" customFormat="false" ht="18" hidden="false" customHeight="false" outlineLevel="0" collapsed="false">
      <c r="A43" s="8" t="s">
        <v>99</v>
      </c>
      <c r="B43" s="10" t="n">
        <f aca="false">-'PM Monthly economics'!B42</f>
        <v>-1700</v>
      </c>
      <c r="C43" s="10" t="n">
        <f aca="false">-'PM Monthly economics'!C42</f>
        <v>458.8</v>
      </c>
      <c r="D43" s="10" t="n">
        <f aca="false">-'PM Monthly economics'!D42</f>
        <v>7734</v>
      </c>
    </row>
    <row r="44" customFormat="false" ht="18" hidden="false" customHeight="false" outlineLevel="0" collapsed="false">
      <c r="A44" s="8" t="s">
        <v>100</v>
      </c>
      <c r="B44" s="10" t="n">
        <f aca="false">'PM Monthly economics'!B43-('PM Hypothetical assumptions'!B41-'PM Hypothetical assumptions'!B36)</f>
        <v>-3200</v>
      </c>
      <c r="C44" s="10" t="n">
        <f aca="false">'PM Monthly economics'!C43-('Model inputs'!B9-'Model inputs'!B18)</f>
        <v>-1041.2</v>
      </c>
      <c r="D44" s="10" t="n">
        <f aca="false">'PM Monthly economics'!D43-('Model inputs'!B10-'Model inputs'!B19)</f>
        <v>6234</v>
      </c>
    </row>
    <row r="45" customFormat="false" ht="18" hidden="false" customHeight="false" outlineLevel="0" collapsed="false">
      <c r="A45" s="8" t="s">
        <v>101</v>
      </c>
      <c r="B45" s="11" t="n">
        <f aca="false">IF(IF(IF(ISERROR('PM Monthly economics'!B42&gt;0),'PM Monthly economics'!B42&gt;0,IF('PM Monthly economics'!B42="","",'PM Monthly economics'!B42&gt;0))="",FALSE(),IF(ISERROR('PM Monthly economics'!B42&gt;0),'PM Monthly economics'!B42&gt;0,IF('PM Monthly economics'!B42="","",'PM Monthly economics'!B42&gt;0))),'PM Hypothetical assumptions'!B13/'PM Monthly economics'!B42,"")</f>
        <v>2.94117647058824</v>
      </c>
      <c r="C45" s="11" t="str">
        <f aca="false">IF(IF(IF(ISERROR('PM Monthly economics'!C42&gt;0),'PM Monthly economics'!C42&gt;0,IF('PM Monthly economics'!C42="","",'PM Monthly economics'!C42&gt;0))="",FALSE(),IF(ISERROR('PM Monthly economics'!C42&gt;0),'PM Monthly economics'!C42&gt;0,IF('PM Monthly economics'!C42="","",'PM Monthly economics'!C42&gt;0))),'Model inputs'!B127/'PM Monthly economics'!C42,"")</f>
        <v/>
      </c>
      <c r="D45" s="11" t="str">
        <f aca="false">IF(IF(IF(ISERROR('PM Monthly economics'!D42&gt;0),'PM Monthly economics'!D42&gt;0,IF('PM Monthly economics'!D42="","",'PM Monthly economics'!D42&gt;0))="",FALSE(),IF(ISERROR('PM Monthly economics'!D42&gt;0),'PM Monthly economics'!D42&gt;0,IF('PM Monthly economics'!D42="","",'PM Monthly economics'!D42&gt;0))),'Model inputs'!B129/'PM Monthly economics'!D42,"")</f>
        <v/>
      </c>
    </row>
    <row r="46" customFormat="false" ht="18" hidden="false" customHeight="false" outlineLevel="0" collapsed="false">
      <c r="A46" s="8" t="s">
        <v>102</v>
      </c>
      <c r="B46" s="11" t="str">
        <f aca="false">IF(IF(IF(ISERROR('PM Monthly economics'!B42&gt;0),'PM Monthly economics'!B42&gt;0,IF('PM Monthly economics'!B42="","",'PM Monthly economics'!B42&gt;0))="",FALSE(),IF(ISERROR('PM Monthly economics'!B42&gt;0),'PM Monthly economics'!B42&gt;0,IF('PM Monthly economics'!B42="","",'PM Monthly economics'!B42&gt;0))),"Finite cash runway","No finite cash-runway limit")</f>
        <v>Finite cash runway</v>
      </c>
      <c r="C46" s="11" t="str">
        <f aca="false">IF(IF(IF(ISERROR('PM Monthly economics'!C42&gt;0),'PM Monthly economics'!C42&gt;0,IF('PM Monthly economics'!C42="","",'PM Monthly economics'!C42&gt;0))="",FALSE(),IF(ISERROR('PM Monthly economics'!C42&gt;0),'PM Monthly economics'!C42&gt;0,IF('PM Monthly economics'!C42="","",'PM Monthly economics'!C42&gt;0))),"Finite cash runway","No finite cash-runway limit")</f>
        <v>No finite cash-runway limit</v>
      </c>
      <c r="D46" s="11" t="str">
        <f aca="false">IF(IF(IF(ISERROR('PM Monthly economics'!D42&gt;0),'PM Monthly economics'!D42&gt;0,IF('PM Monthly economics'!D42="","",'PM Monthly economics'!D42&gt;0))="",FALSE(),IF(ISERROR('PM Monthly economics'!D42&gt;0),'PM Monthly economics'!D42&gt;0,IF('PM Monthly economics'!D42="","",'PM Monthly economics'!D42&gt;0))),"Finite cash runway","No finite cash-runway limit")</f>
        <v>No finite cash-runway limit</v>
      </c>
    </row>
    <row r="47" customFormat="false" ht="18" hidden="false" customHeight="false" outlineLevel="0" collapsed="false">
      <c r="A47" s="8" t="s">
        <v>103</v>
      </c>
      <c r="B47" s="11" t="n">
        <f aca="false">IF(IF(IF(ISERROR('PM Monthly economics'!B42&gt;0),'PM Monthly economics'!B42&gt;0,IF('PM Monthly economics'!B42="","",'PM Monthly economics'!B42&gt;0))="",FALSE(),IF(ISERROR('PM Monthly economics'!B42&gt;0),'PM Monthly economics'!B42&gt;0,IF('PM Monthly economics'!B42="","",'PM Monthly economics'!B42&gt;0))),('PM Hypothetical assumptions'!B13-'PM Hypothetical assumptions'!B14)/'PM Monthly economics'!B42,"")</f>
        <v>2.05882352941176</v>
      </c>
      <c r="C47" s="11" t="str">
        <f aca="false">IF(IF(IF(ISERROR('PM Monthly economics'!C42&gt;0),'PM Monthly economics'!C42&gt;0,IF('PM Monthly economics'!C42="","",'PM Monthly economics'!C42&gt;0))="",FALSE(),IF(ISERROR('PM Monthly economics'!C42&gt;0),'PM Monthly economics'!C42&gt;0,IF('PM Monthly economics'!C42="","",'PM Monthly economics'!C42&gt;0))),('Model inputs'!B127-'Model inputs'!B145)/'PM Monthly economics'!C42,"")</f>
        <v/>
      </c>
      <c r="D47" s="11" t="str">
        <f aca="false">IF(IF(IF(ISERROR('PM Monthly economics'!D42&gt;0),'PM Monthly economics'!D42&gt;0,IF('PM Monthly economics'!D42="","",'PM Monthly economics'!D42&gt;0))="",FALSE(),IF(ISERROR('PM Monthly economics'!D42&gt;0),'PM Monthly economics'!D42&gt;0,IF('PM Monthly economics'!D42="","",'PM Monthly economics'!D42&gt;0))),('Model inputs'!B129-'Model inputs'!B147)/'PM Monthly economics'!D42,"")</f>
        <v/>
      </c>
    </row>
    <row r="48" customFormat="false" ht="18" hidden="false" customHeight="false" outlineLevel="0" collapsed="false">
      <c r="A48" s="8" t="s">
        <v>104</v>
      </c>
      <c r="B48" s="11" t="n">
        <f aca="false">IF(IF('PM Monthly economics'!B35-'PM Hypothetical assumptions'!B15*'PM Hypothetical assumptions'!B40&gt;0="",FALSE(),'PM Monthly economics'!B35-'PM Hypothetical assumptions'!B15*'PM Hypothetical assumptions'!B40&gt;0),CEILING(('PM Hypothetical assumptions'!B28+'PM Monthly economics'!B40)/('PM Monthly economics'!B35-'PM Hypothetical assumptions'!B15*'PM Hypothetical assumptions'!B40),1),"")</f>
        <v>75</v>
      </c>
      <c r="C48" s="11" t="n">
        <f aca="false">IF(IF('PM Monthly economics'!C35-'Model inputs'!B114*'Model inputs'!B48&gt;0="",FALSE(),'PM Monthly economics'!C35-'Model inputs'!B114*'Model inputs'!B48&gt;0),CEILING(('Model inputs'!B15+'PM Monthly economics'!C40)/('PM Monthly economics'!C35-'Model inputs'!B114*'Model inputs'!B48),1),"")</f>
        <v>75</v>
      </c>
      <c r="D48" s="11" t="n">
        <f aca="false">IF(IF('PM Monthly economics'!D35-'Model inputs'!B115*'Model inputs'!B49&gt;0="",FALSE(),'PM Monthly economics'!D35-'Model inputs'!B115*'Model inputs'!B49&gt;0),CEILING(('Model inputs'!B16+'PM Monthly economics'!D40)/('PM Monthly economics'!D35-'Model inputs'!B115*'Model inputs'!B49),1),"")</f>
        <v>75</v>
      </c>
    </row>
    <row r="49" customFormat="false" ht="18" hidden="false" customHeight="false" outlineLevel="0" collapsed="false">
      <c r="A49" s="6" t="s">
        <v>105</v>
      </c>
      <c r="B49" s="7" t="n">
        <f aca="false">IF(IF(IF(ISERROR('PM Monthly economics'!B35&gt;0),'PM Monthly economics'!B35&gt;0,IF('PM Monthly economics'!B35="","",'PM Monthly economics'!B35&gt;0))="",FALSE(),IF(ISERROR('PM Monthly economics'!B35&gt;0),'PM Monthly economics'!B35&gt;0,IF('PM Monthly economics'!B35="","",'PM Monthly economics'!B35&gt;0))),'PM Hypothetical assumptions'!B40/'PM Monthly economics'!B35,"")</f>
        <v>2.63317804334616</v>
      </c>
      <c r="C49" s="7" t="n">
        <f aca="false">IF(IF(IF(ISERROR('PM Monthly economics'!C35&gt;0),'PM Monthly economics'!C35&gt;0,IF('PM Monthly economics'!C35="","",'PM Monthly economics'!C35&gt;0))="",FALSE(),IF(ISERROR('PM Monthly economics'!C35&gt;0),'PM Monthly economics'!C35&gt;0,IF('PM Monthly economics'!C35="","",'PM Monthly economics'!C35&gt;0))),'Model inputs'!B48/'PM Monthly economics'!C35,"")</f>
        <v>2.63317804334616</v>
      </c>
      <c r="D49" s="7" t="n">
        <f aca="false">IF(IF(IF(ISERROR('PM Monthly economics'!D35&gt;0),'PM Monthly economics'!D35&gt;0,IF('PM Monthly economics'!D35="","",'PM Monthly economics'!D35&gt;0))="",FALSE(),IF(ISERROR('PM Monthly economics'!D35&gt;0),'PM Monthly economics'!D35&gt;0,IF('PM Monthly economics'!D35="","",'PM Monthly economics'!D35&gt;0))),'Model inputs'!B49/'PM Monthly economics'!D35,"")</f>
        <v>2.63317804334616</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12" min="2" style="0" width="19"/>
  </cols>
  <sheetData>
    <row r="1" customFormat="false" ht="31.5" hidden="false" customHeight="true" outlineLevel="0" collapsed="false">
      <c r="A1" s="2" t="s">
        <v>106</v>
      </c>
      <c r="B1" s="2"/>
      <c r="C1" s="2"/>
      <c r="D1" s="2"/>
      <c r="E1" s="2"/>
      <c r="F1" s="2"/>
      <c r="G1" s="2"/>
      <c r="H1" s="2"/>
      <c r="I1" s="2"/>
      <c r="J1" s="2"/>
      <c r="K1" s="2"/>
      <c r="L1" s="2"/>
    </row>
    <row r="2" customFormat="false" ht="19.5" hidden="false" customHeight="true" outlineLevel="0" collapsed="false">
      <c r="A2" s="3" t="s">
        <v>18</v>
      </c>
    </row>
    <row r="4" customFormat="false" ht="21.75" hidden="false" customHeight="true" outlineLevel="0" collapsed="false">
      <c r="A4" s="4" t="s">
        <v>19</v>
      </c>
      <c r="B4" s="5" t="s">
        <v>107</v>
      </c>
      <c r="C4" s="5" t="s">
        <v>108</v>
      </c>
      <c r="D4" s="5" t="s">
        <v>109</v>
      </c>
      <c r="E4" s="5" t="s">
        <v>110</v>
      </c>
      <c r="F4" s="5" t="s">
        <v>111</v>
      </c>
      <c r="G4" s="5" t="s">
        <v>112</v>
      </c>
      <c r="H4" s="5" t="s">
        <v>113</v>
      </c>
      <c r="I4" s="5" t="s">
        <v>114</v>
      </c>
      <c r="J4" s="5" t="s">
        <v>115</v>
      </c>
      <c r="K4" s="5" t="s">
        <v>116</v>
      </c>
      <c r="L4" s="5" t="s">
        <v>117</v>
      </c>
    </row>
    <row r="5" customFormat="false" ht="18" hidden="false" customHeight="false" outlineLevel="0" collapsed="false">
      <c r="A5" s="6" t="s">
        <v>118</v>
      </c>
      <c r="B5" s="13" t="n">
        <f aca="false">0.05</f>
        <v>0.05</v>
      </c>
      <c r="C5" s="13" t="n">
        <f aca="false">'PM Repair sensitivity'!B5*'PM Monthly economics'!B8</f>
        <v>1.8</v>
      </c>
      <c r="D5" s="13" t="n">
        <f aca="false">('PM Tax reserve calculation'!B5-'PM Monthly economics'!B9+'PM Hypothetical assumptions'!B5*('PM Repair sensitivity'!C5-'PM Monthly economics'!B12))+MAX(0,-('PM Tax reserve calculation'!B5-'PM Monthly economics'!B9+'PM Hypothetical assumptions'!B5*('PM Repair sensitivity'!C5-'PM Monthly economics'!B12)))*'PM Tax reserve assumption'!B5</f>
        <v>925</v>
      </c>
      <c r="E5" s="13" t="n">
        <f aca="false">IF(IF(IF(ISERROR('PM Repair sensitivity'!D5&gt;0),'PM Repair sensitivity'!D5&gt;0,IF('PM Repair sensitivity'!D5="","",'PM Repair sensitivity'!D5&gt;0))="",FALSE(),IF(ISERROR('PM Repair sensitivity'!D5&gt;0),'PM Repair sensitivity'!D5&gt;0,IF('PM Repair sensitivity'!D5="","",'PM Repair sensitivity'!D5&gt;0))),'PM Hypothetical assumptions'!B13/'PM Repair sensitivity'!D5,"")</f>
        <v>5.40540540540541</v>
      </c>
      <c r="F5" s="13" t="n">
        <f aca="false">('PM Tax reserve calculation'!B7-'PM Monthly economics'!B9+'PM Hypothetical assumptions'!B5*('PM Repair sensitivity'!C5-'PM Monthly economics'!B12))+MAX(0,-('PM Tax reserve calculation'!B7-'PM Monthly economics'!B9+'PM Hypothetical assumptions'!B5*('PM Repair sensitivity'!C5-'PM Monthly economics'!B12)))*'PM Tax reserve assumption'!B5</f>
        <v>1700</v>
      </c>
      <c r="G5" s="13" t="n">
        <f aca="false">IF(IF(IF(ISERROR('PM Repair sensitivity'!F5&gt;0),'PM Repair sensitivity'!F5&gt;0,IF('PM Repair sensitivity'!F5="","",'PM Repair sensitivity'!F5&gt;0))="",FALSE(),IF(ISERROR('PM Repair sensitivity'!F5&gt;0),'PM Repair sensitivity'!F5&gt;0,IF('PM Repair sensitivity'!F5="","",'PM Repair sensitivity'!F5&gt;0))),'PM Hypothetical assumptions'!B13/'PM Repair sensitivity'!F5,"")</f>
        <v>2.94117647058824</v>
      </c>
      <c r="H5" s="13" t="n">
        <f aca="false">'PM Repair sensitivity'!B5*'PM Hypothetical assumptions'!B11</f>
        <v>5</v>
      </c>
      <c r="I5" s="13" t="n">
        <f aca="false">('PM Tax reserve calculation'!B5-'PM Monthly economics'!B9+'PM Hypothetical assumptions'!B5*('PM Repair sensitivity'!H5-'PM Monthly economics'!B12))+MAX(0,-('PM Tax reserve calculation'!B5-'PM Monthly economics'!B9+'PM Hypothetical assumptions'!B5*('PM Repair sensitivity'!H5-'PM Monthly economics'!B12)))*'PM Tax reserve assumption'!B5</f>
        <v>925</v>
      </c>
      <c r="J5" s="13" t="n">
        <f aca="false">IF(IF(IF(ISERROR('PM Repair sensitivity'!I5&gt;0),'PM Repair sensitivity'!I5&gt;0,IF('PM Repair sensitivity'!I5="","",'PM Repair sensitivity'!I5&gt;0))="",FALSE(),IF(ISERROR('PM Repair sensitivity'!I5&gt;0),'PM Repair sensitivity'!I5&gt;0,IF('PM Repair sensitivity'!I5="","",'PM Repair sensitivity'!I5&gt;0))),'PM Hypothetical assumptions'!B13/'PM Repair sensitivity'!I5,"")</f>
        <v>5.40540540540541</v>
      </c>
      <c r="K5" s="13" t="n">
        <f aca="false">('PM Tax reserve calculation'!B7-'PM Monthly economics'!B9+'PM Hypothetical assumptions'!B5*('PM Repair sensitivity'!H5-'PM Monthly economics'!B12))+MAX(0,-('PM Tax reserve calculation'!B7-'PM Monthly economics'!B9+'PM Hypothetical assumptions'!B5*('PM Repair sensitivity'!H5-'PM Monthly economics'!B12)))*'PM Tax reserve assumption'!B5</f>
        <v>1700</v>
      </c>
      <c r="L5" s="13" t="n">
        <f aca="false">IF(IF(IF(ISERROR('PM Repair sensitivity'!K5&gt;0),'PM Repair sensitivity'!K5&gt;0,IF('PM Repair sensitivity'!K5="","",'PM Repair sensitivity'!K5&gt;0))="",FALSE(),IF(ISERROR('PM Repair sensitivity'!K5&gt;0),'PM Repair sensitivity'!K5&gt;0,IF('PM Repair sensitivity'!K5="","",'PM Repair sensitivity'!K5&gt;0))),'PM Hypothetical assumptions'!B13/'PM Repair sensitivity'!K5,"")</f>
        <v>2.94117647058824</v>
      </c>
    </row>
    <row r="6" customFormat="false" ht="18" hidden="false" customHeight="false" outlineLevel="0" collapsed="false">
      <c r="A6" s="8" t="s">
        <v>119</v>
      </c>
      <c r="B6" s="14" t="n">
        <f aca="false">1</f>
        <v>1</v>
      </c>
      <c r="C6" s="14" t="n">
        <f aca="false">'PM Repair sensitivity'!B6*'PM Monthly economics'!B8</f>
        <v>36</v>
      </c>
      <c r="D6" s="14" t="n">
        <f aca="false">('PM Tax reserve calculation'!B5-'PM Monthly economics'!B9+'PM Hypothetical assumptions'!B5*('PM Repair sensitivity'!C6-'PM Monthly economics'!B12))+MAX(0,-('PM Tax reserve calculation'!B5-'PM Monthly economics'!B9+'PM Hypothetical assumptions'!B5*('PM Repair sensitivity'!C6-'PM Monthly economics'!B12)))*'PM Tax reserve assumption'!B5</f>
        <v>925</v>
      </c>
      <c r="E6" s="14" t="n">
        <f aca="false">IF(IF(IF(ISERROR('PM Repair sensitivity'!D6&gt;0),'PM Repair sensitivity'!D6&gt;0,IF('PM Repair sensitivity'!D6="","",'PM Repair sensitivity'!D6&gt;0))="",FALSE(),IF(ISERROR('PM Repair sensitivity'!D6&gt;0),'PM Repair sensitivity'!D6&gt;0,IF('PM Repair sensitivity'!D6="","",'PM Repair sensitivity'!D6&gt;0))),'PM Hypothetical assumptions'!B13/'PM Repair sensitivity'!D6,"")</f>
        <v>5.40540540540541</v>
      </c>
      <c r="F6" s="14" t="n">
        <f aca="false">('PM Tax reserve calculation'!B7-'PM Monthly economics'!B9+'PM Hypothetical assumptions'!B5*('PM Repair sensitivity'!C6-'PM Monthly economics'!B12))+MAX(0,-('PM Tax reserve calculation'!B7-'PM Monthly economics'!B9+'PM Hypothetical assumptions'!B5*('PM Repair sensitivity'!C6-'PM Monthly economics'!B12)))*'PM Tax reserve assumption'!B5</f>
        <v>1700</v>
      </c>
      <c r="G6" s="14" t="n">
        <f aca="false">IF(IF(IF(ISERROR('PM Repair sensitivity'!F6&gt;0),'PM Repair sensitivity'!F6&gt;0,IF('PM Repair sensitivity'!F6="","",'PM Repair sensitivity'!F6&gt;0))="",FALSE(),IF(ISERROR('PM Repair sensitivity'!F6&gt;0),'PM Repair sensitivity'!F6&gt;0,IF('PM Repair sensitivity'!F6="","",'PM Repair sensitivity'!F6&gt;0))),'PM Hypothetical assumptions'!B13/'PM Repair sensitivity'!F6,"")</f>
        <v>2.94117647058824</v>
      </c>
      <c r="H6" s="14" t="n">
        <f aca="false">'PM Repair sensitivity'!B6*'PM Hypothetical assumptions'!B11</f>
        <v>100</v>
      </c>
      <c r="I6" s="14" t="n">
        <f aca="false">('PM Tax reserve calculation'!B5-'PM Monthly economics'!B9+'PM Hypothetical assumptions'!B5*('PM Repair sensitivity'!H6-'PM Monthly economics'!B12))+MAX(0,-('PM Tax reserve calculation'!B5-'PM Monthly economics'!B9+'PM Hypothetical assumptions'!B5*('PM Repair sensitivity'!H6-'PM Monthly economics'!B12)))*'PM Tax reserve assumption'!B5</f>
        <v>925</v>
      </c>
      <c r="J6" s="14" t="n">
        <f aca="false">IF(IF(IF(ISERROR('PM Repair sensitivity'!I6&gt;0),'PM Repair sensitivity'!I6&gt;0,IF('PM Repair sensitivity'!I6="","",'PM Repair sensitivity'!I6&gt;0))="",FALSE(),IF(ISERROR('PM Repair sensitivity'!I6&gt;0),'PM Repair sensitivity'!I6&gt;0,IF('PM Repair sensitivity'!I6="","",'PM Repair sensitivity'!I6&gt;0))),'PM Hypothetical assumptions'!B13/'PM Repair sensitivity'!I6,"")</f>
        <v>5.40540540540541</v>
      </c>
      <c r="K6" s="14" t="n">
        <f aca="false">('PM Tax reserve calculation'!B7-'PM Monthly economics'!B9+'PM Hypothetical assumptions'!B5*('PM Repair sensitivity'!H6-'PM Monthly economics'!B12))+MAX(0,-('PM Tax reserve calculation'!B7-'PM Monthly economics'!B9+'PM Hypothetical assumptions'!B5*('PM Repair sensitivity'!H6-'PM Monthly economics'!B12)))*'PM Tax reserve assumption'!B5</f>
        <v>1700</v>
      </c>
      <c r="L6" s="14" t="n">
        <f aca="false">IF(IF(IF(ISERROR('PM Repair sensitivity'!K6&gt;0),'PM Repair sensitivity'!K6&gt;0,IF('PM Repair sensitivity'!K6="","",'PM Repair sensitivity'!K6&gt;0))="",FALSE(),IF(ISERROR('PM Repair sensitivity'!K6&gt;0),'PM Repair sensitivity'!K6&gt;0,IF('PM Repair sensitivity'!K6="","",'PM Repair sensitivity'!K6&gt;0))),'PM Hypothetical assumptions'!B13/'PM Repair sensitivity'!K6,"")</f>
        <v>2.94117647058824</v>
      </c>
    </row>
    <row r="7" customFormat="false" ht="18" hidden="false" customHeight="false" outlineLevel="0" collapsed="false">
      <c r="A7" s="6" t="s">
        <v>120</v>
      </c>
      <c r="B7" s="13" t="n">
        <f aca="false">0.25</f>
        <v>0.25</v>
      </c>
      <c r="C7" s="13" t="n">
        <f aca="false">'PM Repair sensitivity'!B7*'PM Monthly economics'!B8</f>
        <v>9</v>
      </c>
      <c r="D7" s="13" t="n">
        <f aca="false">('PM Tax reserve calculation'!B5-'PM Monthly economics'!B9+'PM Hypothetical assumptions'!B5*('PM Repair sensitivity'!C7-'PM Monthly economics'!B12))+MAX(0,-('PM Tax reserve calculation'!B5-'PM Monthly economics'!B9+'PM Hypothetical assumptions'!B5*('PM Repair sensitivity'!C7-'PM Monthly economics'!B12)))*'PM Tax reserve assumption'!B5</f>
        <v>925</v>
      </c>
      <c r="E7" s="13" t="n">
        <f aca="false">IF(IF(IF(ISERROR('PM Repair sensitivity'!D7&gt;0),'PM Repair sensitivity'!D7&gt;0,IF('PM Repair sensitivity'!D7="","",'PM Repair sensitivity'!D7&gt;0))="",FALSE(),IF(ISERROR('PM Repair sensitivity'!D7&gt;0),'PM Repair sensitivity'!D7&gt;0,IF('PM Repair sensitivity'!D7="","",'PM Repair sensitivity'!D7&gt;0))),'PM Hypothetical assumptions'!B13/'PM Repair sensitivity'!D7,"")</f>
        <v>5.40540540540541</v>
      </c>
      <c r="F7" s="13" t="n">
        <f aca="false">('PM Tax reserve calculation'!B7-'PM Monthly economics'!B9+'PM Hypothetical assumptions'!B5*('PM Repair sensitivity'!C7-'PM Monthly economics'!B12))+MAX(0,-('PM Tax reserve calculation'!B7-'PM Monthly economics'!B9+'PM Hypothetical assumptions'!B5*('PM Repair sensitivity'!C7-'PM Monthly economics'!B12)))*'PM Tax reserve assumption'!B5</f>
        <v>1700</v>
      </c>
      <c r="G7" s="13" t="n">
        <f aca="false">IF(IF(IF(ISERROR('PM Repair sensitivity'!F7&gt;0),'PM Repair sensitivity'!F7&gt;0,IF('PM Repair sensitivity'!F7="","",'PM Repair sensitivity'!F7&gt;0))="",FALSE(),IF(ISERROR('PM Repair sensitivity'!F7&gt;0),'PM Repair sensitivity'!F7&gt;0,IF('PM Repair sensitivity'!F7="","",'PM Repair sensitivity'!F7&gt;0))),'PM Hypothetical assumptions'!B13/'PM Repair sensitivity'!F7,"")</f>
        <v>2.94117647058824</v>
      </c>
      <c r="H7" s="13" t="n">
        <f aca="false">'PM Repair sensitivity'!B7*'PM Hypothetical assumptions'!B11</f>
        <v>25</v>
      </c>
      <c r="I7" s="13" t="n">
        <f aca="false">('PM Tax reserve calculation'!B5-'PM Monthly economics'!B9+'PM Hypothetical assumptions'!B5*('PM Repair sensitivity'!H7-'PM Monthly economics'!B12))+MAX(0,-('PM Tax reserve calculation'!B5-'PM Monthly economics'!B9+'PM Hypothetical assumptions'!B5*('PM Repair sensitivity'!H7-'PM Monthly economics'!B12)))*'PM Tax reserve assumption'!B5</f>
        <v>925</v>
      </c>
      <c r="J7" s="13" t="n">
        <f aca="false">IF(IF(IF(ISERROR('PM Repair sensitivity'!I7&gt;0),'PM Repair sensitivity'!I7&gt;0,IF('PM Repair sensitivity'!I7="","",'PM Repair sensitivity'!I7&gt;0))="",FALSE(),IF(ISERROR('PM Repair sensitivity'!I7&gt;0),'PM Repair sensitivity'!I7&gt;0,IF('PM Repair sensitivity'!I7="","",'PM Repair sensitivity'!I7&gt;0))),'PM Hypothetical assumptions'!B13/'PM Repair sensitivity'!I7,"")</f>
        <v>5.40540540540541</v>
      </c>
      <c r="K7" s="13" t="n">
        <f aca="false">('PM Tax reserve calculation'!B7-'PM Monthly economics'!B9+'PM Hypothetical assumptions'!B5*('PM Repair sensitivity'!H7-'PM Monthly economics'!B12))+MAX(0,-('PM Tax reserve calculation'!B7-'PM Monthly economics'!B9+'PM Hypothetical assumptions'!B5*('PM Repair sensitivity'!H7-'PM Monthly economics'!B12)))*'PM Tax reserve assumption'!B5</f>
        <v>1700</v>
      </c>
      <c r="L7" s="13" t="n">
        <f aca="false">IF(IF(IF(ISERROR('PM Repair sensitivity'!K7&gt;0),'PM Repair sensitivity'!K7&gt;0,IF('PM Repair sensitivity'!K7="","",'PM Repair sensitivity'!K7&gt;0))="",FALSE(),IF(ISERROR('PM Repair sensitivity'!K7&gt;0),'PM Repair sensitivity'!K7&gt;0,IF('PM Repair sensitivity'!K7="","",'PM Repair sensitivity'!K7&gt;0))),'PM Hypothetical assumptions'!B13/'PM Repair sensitivity'!K7,"")</f>
        <v>2.94117647058824</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7" min="2" style="0" width="19"/>
  </cols>
  <sheetData>
    <row r="1" customFormat="false" ht="31.5" hidden="false" customHeight="true" outlineLevel="0" collapsed="false">
      <c r="A1" s="2" t="s">
        <v>121</v>
      </c>
      <c r="B1" s="2"/>
      <c r="C1" s="2"/>
      <c r="D1" s="2"/>
      <c r="E1" s="2"/>
      <c r="F1" s="2"/>
      <c r="G1" s="2"/>
    </row>
    <row r="2" customFormat="false" ht="19.5" hidden="false" customHeight="true" outlineLevel="0" collapsed="false">
      <c r="A2" s="3" t="s">
        <v>18</v>
      </c>
    </row>
    <row r="4" customFormat="false" ht="21.75" hidden="false" customHeight="true" outlineLevel="0" collapsed="false">
      <c r="A4" s="4" t="s">
        <v>19</v>
      </c>
      <c r="B4" s="5" t="s">
        <v>122</v>
      </c>
      <c r="C4" s="5" t="s">
        <v>123</v>
      </c>
      <c r="D4" s="5" t="s">
        <v>124</v>
      </c>
      <c r="E4" s="5" t="s">
        <v>125</v>
      </c>
      <c r="F4" s="5" t="s">
        <v>126</v>
      </c>
      <c r="G4" s="5" t="s">
        <v>127</v>
      </c>
    </row>
    <row r="5" customFormat="false" ht="18" hidden="false" customHeight="false" outlineLevel="0" collapsed="false">
      <c r="A5" s="6" t="s">
        <v>128</v>
      </c>
      <c r="B5" s="13" t="n">
        <f aca="false">1.25</f>
        <v>1.25</v>
      </c>
      <c r="C5" s="13" t="n">
        <f aca="false">'PM Monthly economics'!B7*'PM Pricing sensitivity'!B5</f>
        <v>43.75</v>
      </c>
      <c r="D5" s="13" t="n">
        <f aca="false">('PM Tax reserve calculation'!B5-'PM Monthly economics'!B9-'PM Hypothetical assumptions'!B5*('PM Pricing sensitivity'!C5-'PM Monthly economics'!B7)*(1-'PM Hypothetical assumptions'!B16))+MAX(0,-('PM Tax reserve calculation'!B5-'PM Monthly economics'!B9-'PM Hypothetical assumptions'!B5*('PM Pricing sensitivity'!C5-'PM Monthly economics'!B7)*(1-'PM Hypothetical assumptions'!B16)))*'PM Tax reserve assumption'!B5</f>
        <v>925</v>
      </c>
      <c r="E5" s="13" t="n">
        <f aca="false">IF(IF(IF(ISERROR('PM Pricing sensitivity'!D5&gt;0),'PM Pricing sensitivity'!D5&gt;0,IF('PM Pricing sensitivity'!D5="","",'PM Pricing sensitivity'!D5&gt;0))="",FALSE(),IF(ISERROR('PM Pricing sensitivity'!D5&gt;0),'PM Pricing sensitivity'!D5&gt;0,IF('PM Pricing sensitivity'!D5="","",'PM Pricing sensitivity'!D5&gt;0))),'PM Hypothetical assumptions'!B13/'PM Pricing sensitivity'!D5,"")</f>
        <v>5.40540540540541</v>
      </c>
      <c r="F5" s="13" t="n">
        <f aca="false">('PM Tax reserve calculation'!B7-'PM Monthly economics'!B9-'PM Hypothetical assumptions'!B5*('PM Pricing sensitivity'!C5-'PM Monthly economics'!B7)*(1-'PM Hypothetical assumptions'!B16))+MAX(0,-('PM Tax reserve calculation'!B7-'PM Monthly economics'!B9-'PM Hypothetical assumptions'!B5*('PM Pricing sensitivity'!C5-'PM Monthly economics'!B7)*(1-'PM Hypothetical assumptions'!B16)))*'PM Tax reserve assumption'!B5</f>
        <v>1700</v>
      </c>
      <c r="G5" s="13" t="n">
        <f aca="false">IF(IF(IF(ISERROR('PM Pricing sensitivity'!F5&gt;0),'PM Pricing sensitivity'!F5&gt;0,IF('PM Pricing sensitivity'!F5="","",'PM Pricing sensitivity'!F5&gt;0))="",FALSE(),IF(ISERROR('PM Pricing sensitivity'!F5&gt;0),'PM Pricing sensitivity'!F5&gt;0,IF('PM Pricing sensitivity'!F5="","",'PM Pricing sensitivity'!F5&gt;0))),'PM Hypothetical assumptions'!B13/'PM Pricing sensitivity'!F5,"")</f>
        <v>2.94117647058824</v>
      </c>
    </row>
    <row r="6" customFormat="false" ht="18" hidden="false" customHeight="false" outlineLevel="0" collapsed="false">
      <c r="A6" s="8" t="s">
        <v>129</v>
      </c>
      <c r="B6" s="14" t="n">
        <f aca="false">0.75</f>
        <v>0.75</v>
      </c>
      <c r="C6" s="14" t="n">
        <f aca="false">'PM Monthly economics'!B7*'PM Pricing sensitivity'!B6</f>
        <v>26.25</v>
      </c>
      <c r="D6" s="14" t="n">
        <f aca="false">('PM Tax reserve calculation'!B5-'PM Monthly economics'!B9-'PM Hypothetical assumptions'!B5*('PM Pricing sensitivity'!C6-'PM Monthly economics'!B7)*(1-'PM Hypothetical assumptions'!B16))+MAX(0,-('PM Tax reserve calculation'!B5-'PM Monthly economics'!B9-'PM Hypothetical assumptions'!B5*('PM Pricing sensitivity'!C6-'PM Monthly economics'!B7)*(1-'PM Hypothetical assumptions'!B16)))*'PM Tax reserve assumption'!B5</f>
        <v>925</v>
      </c>
      <c r="E6" s="14" t="n">
        <f aca="false">IF(IF(IF(ISERROR('PM Pricing sensitivity'!D6&gt;0),'PM Pricing sensitivity'!D6&gt;0,IF('PM Pricing sensitivity'!D6="","",'PM Pricing sensitivity'!D6&gt;0))="",FALSE(),IF(ISERROR('PM Pricing sensitivity'!D6&gt;0),'PM Pricing sensitivity'!D6&gt;0,IF('PM Pricing sensitivity'!D6="","",'PM Pricing sensitivity'!D6&gt;0))),'PM Hypothetical assumptions'!B13/'PM Pricing sensitivity'!D6,"")</f>
        <v>5.40540540540541</v>
      </c>
      <c r="F6" s="14" t="n">
        <f aca="false">('PM Tax reserve calculation'!B7-'PM Monthly economics'!B9-'PM Hypothetical assumptions'!B5*('PM Pricing sensitivity'!C6-'PM Monthly economics'!B7)*(1-'PM Hypothetical assumptions'!B16))+MAX(0,-('PM Tax reserve calculation'!B7-'PM Monthly economics'!B9-'PM Hypothetical assumptions'!B5*('PM Pricing sensitivity'!C6-'PM Monthly economics'!B7)*(1-'PM Hypothetical assumptions'!B16)))*'PM Tax reserve assumption'!B5</f>
        <v>1700</v>
      </c>
      <c r="G6" s="14" t="n">
        <f aca="false">IF(IF(IF(ISERROR('PM Pricing sensitivity'!F6&gt;0),'PM Pricing sensitivity'!F6&gt;0,IF('PM Pricing sensitivity'!F6="","",'PM Pricing sensitivity'!F6&gt;0))="",FALSE(),IF(ISERROR('PM Pricing sensitivity'!F6&gt;0),'PM Pricing sensitivity'!F6&gt;0,IF('PM Pricing sensitivity'!F6="","",'PM Pricing sensitivity'!F6&gt;0))),'PM Hypothetical assumptions'!B13/'PM Pricing sensitivity'!F6,"")</f>
        <v>2.94117647058824</v>
      </c>
    </row>
    <row r="7" customFormat="false" ht="18" hidden="false" customHeight="false" outlineLevel="0" collapsed="false">
      <c r="A7" s="6" t="s">
        <v>130</v>
      </c>
      <c r="B7" s="13" t="n">
        <f aca="false">1</f>
        <v>1</v>
      </c>
      <c r="C7" s="13" t="n">
        <f aca="false">'PM Monthly economics'!B7*'PM Pricing sensitivity'!B7</f>
        <v>35</v>
      </c>
      <c r="D7" s="13" t="n">
        <f aca="false">('PM Tax reserve calculation'!B5-'PM Monthly economics'!B9-'PM Hypothetical assumptions'!B5*('PM Pricing sensitivity'!C7-'PM Monthly economics'!B7)*(1-'PM Hypothetical assumptions'!B16))+MAX(0,-('PM Tax reserve calculation'!B5-'PM Monthly economics'!B9-'PM Hypothetical assumptions'!B5*('PM Pricing sensitivity'!C7-'PM Monthly economics'!B7)*(1-'PM Hypothetical assumptions'!B16)))*'PM Tax reserve assumption'!B5</f>
        <v>925</v>
      </c>
      <c r="E7" s="13" t="n">
        <f aca="false">IF(IF(IF(ISERROR('PM Pricing sensitivity'!D7&gt;0),'PM Pricing sensitivity'!D7&gt;0,IF('PM Pricing sensitivity'!D7="","",'PM Pricing sensitivity'!D7&gt;0))="",FALSE(),IF(ISERROR('PM Pricing sensitivity'!D7&gt;0),'PM Pricing sensitivity'!D7&gt;0,IF('PM Pricing sensitivity'!D7="","",'PM Pricing sensitivity'!D7&gt;0))),'PM Hypothetical assumptions'!B13/'PM Pricing sensitivity'!D7,"")</f>
        <v>5.40540540540541</v>
      </c>
      <c r="F7" s="13" t="n">
        <f aca="false">('PM Tax reserve calculation'!B7-'PM Monthly economics'!B9-'PM Hypothetical assumptions'!B5*('PM Pricing sensitivity'!C7-'PM Monthly economics'!B7)*(1-'PM Hypothetical assumptions'!B16))+MAX(0,-('PM Tax reserve calculation'!B7-'PM Monthly economics'!B9-'PM Hypothetical assumptions'!B5*('PM Pricing sensitivity'!C7-'PM Monthly economics'!B7)*(1-'PM Hypothetical assumptions'!B16)))*'PM Tax reserve assumption'!B5</f>
        <v>1700</v>
      </c>
      <c r="G7" s="13" t="n">
        <f aca="false">IF(IF(IF(ISERROR('PM Pricing sensitivity'!F7&gt;0),'PM Pricing sensitivity'!F7&gt;0,IF('PM Pricing sensitivity'!F7="","",'PM Pricing sensitivity'!F7&gt;0))="",FALSE(),IF(ISERROR('PM Pricing sensitivity'!F7&gt;0),'PM Pricing sensitivity'!F7&gt;0,IF('PM Pricing sensitivity'!F7="","",'PM Pricing sensitivity'!F7&gt;0))),'PM Hypothetical assumptions'!B13/'PM Pricing sensitivity'!F7,"")</f>
        <v>2.94117647058824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2" min="2" style="0" width="19"/>
  </cols>
  <sheetData>
    <row r="1" customFormat="false" ht="31.5" hidden="false" customHeight="true" outlineLevel="0" collapsed="false">
      <c r="A1" s="2" t="s">
        <v>30</v>
      </c>
      <c r="B1" s="2"/>
    </row>
    <row r="2" customFormat="false" ht="19.5" hidden="false" customHeight="true" outlineLevel="0" collapsed="false">
      <c r="A2" s="3" t="s">
        <v>18</v>
      </c>
    </row>
    <row r="4" customFormat="false" ht="21.75" hidden="false" customHeight="true" outlineLevel="0" collapsed="false">
      <c r="A4" s="4" t="s">
        <v>19</v>
      </c>
      <c r="B4" s="5" t="s">
        <v>131</v>
      </c>
    </row>
    <row r="5" customFormat="false" ht="18" hidden="false" customHeight="false" outlineLevel="0" collapsed="false">
      <c r="A5" s="6" t="s">
        <v>132</v>
      </c>
      <c r="B5" s="13" t="n">
        <f aca="false">100</f>
        <v>100</v>
      </c>
    </row>
    <row r="6" customFormat="false" ht="18" hidden="false" customHeight="false" outlineLevel="0" collapsed="false">
      <c r="A6" s="8" t="s">
        <v>133</v>
      </c>
      <c r="B6" s="14" t="n">
        <f aca="false">200</f>
        <v>200</v>
      </c>
    </row>
    <row r="7" customFormat="false" ht="18" hidden="false" customHeight="false" outlineLevel="0" collapsed="false">
      <c r="A7" s="8" t="s">
        <v>134</v>
      </c>
      <c r="B7" s="14" t="n">
        <f aca="false">300</f>
        <v>300</v>
      </c>
    </row>
    <row r="8" customFormat="false" ht="18" hidden="false" customHeight="false" outlineLevel="0" collapsed="false">
      <c r="A8" s="8" t="s">
        <v>135</v>
      </c>
      <c r="B8" s="14" t="n">
        <f aca="false">350</f>
        <v>350</v>
      </c>
    </row>
    <row r="9" customFormat="false" ht="18" hidden="false" customHeight="false" outlineLevel="0" collapsed="false">
      <c r="A9" s="8" t="s">
        <v>136</v>
      </c>
      <c r="B9" s="14" t="n">
        <f aca="false">400</f>
        <v>400</v>
      </c>
    </row>
    <row r="10" customFormat="false" ht="18" hidden="false" customHeight="false" outlineLevel="0" collapsed="false">
      <c r="A10" s="6" t="s">
        <v>137</v>
      </c>
      <c r="B10" s="13" t="n">
        <f aca="false">150</f>
        <v>150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15" min="2" style="0" width="19"/>
  </cols>
  <sheetData>
    <row r="1" customFormat="false" ht="31.5" hidden="false" customHeight="true" outlineLevel="0" collapsed="false">
      <c r="A1" s="2" t="s">
        <v>138</v>
      </c>
      <c r="B1" s="2"/>
      <c r="C1" s="2"/>
      <c r="D1" s="2"/>
      <c r="E1" s="2"/>
      <c r="F1" s="2"/>
      <c r="G1" s="2"/>
      <c r="H1" s="2"/>
      <c r="I1" s="2"/>
      <c r="J1" s="2"/>
      <c r="K1" s="2"/>
      <c r="L1" s="2"/>
      <c r="M1" s="2"/>
      <c r="N1" s="2"/>
      <c r="O1" s="2"/>
    </row>
    <row r="2" customFormat="false" ht="19.5" hidden="false" customHeight="true" outlineLevel="0" collapsed="false">
      <c r="A2" s="3" t="s">
        <v>18</v>
      </c>
    </row>
    <row r="4" customFormat="false" ht="21.75" hidden="false" customHeight="true" outlineLevel="0" collapsed="false">
      <c r="A4" s="4" t="s">
        <v>19</v>
      </c>
      <c r="B4" s="5" t="s">
        <v>139</v>
      </c>
      <c r="C4" s="5" t="s">
        <v>140</v>
      </c>
      <c r="D4" s="5" t="s">
        <v>141</v>
      </c>
      <c r="E4" s="5" t="s">
        <v>142</v>
      </c>
      <c r="F4" s="5" t="s">
        <v>143</v>
      </c>
      <c r="G4" s="5" t="s">
        <v>144</v>
      </c>
      <c r="H4" s="5" t="s">
        <v>145</v>
      </c>
      <c r="I4" s="5" t="s">
        <v>146</v>
      </c>
      <c r="J4" s="5" t="s">
        <v>147</v>
      </c>
      <c r="K4" s="5" t="s">
        <v>148</v>
      </c>
      <c r="L4" s="5" t="s">
        <v>149</v>
      </c>
      <c r="M4" s="5" t="s">
        <v>150</v>
      </c>
      <c r="N4" s="5" t="s">
        <v>151</v>
      </c>
      <c r="O4" s="5" t="s">
        <v>152</v>
      </c>
    </row>
    <row r="5" customFormat="false" ht="18" hidden="false" customHeight="false" outlineLevel="0" collapsed="false">
      <c r="A5" s="6" t="s">
        <v>153</v>
      </c>
      <c r="B5" s="13" t="n">
        <f aca="false">IF(EXACT("Individual","Individual"),IF('PM Hypothetical assumptions'!B7="","",'PM Hypothetical assumptions'!B7),IF('PM Hypothetical assumptions'!B8="","",'PM Hypothetical assumptions'!B8))</f>
        <v>19</v>
      </c>
      <c r="C5" s="13" t="n">
        <f aca="false">IF(EXACT("Individual","Individual"),IF('PM Hypothetical assumptions'!B9="","",'PM Hypothetical assumptions'!B9),IF('PM Hypothetical assumptions'!B10="","",'PM Hypothetical assumptions'!B10))</f>
        <v>20</v>
      </c>
      <c r="D5" s="13" t="n">
        <f aca="false">'PM Tier economics'!C5*'PM Hypothetical assumptions'!B12</f>
        <v>1</v>
      </c>
      <c r="E5" s="13" t="n">
        <f aca="false">'PM Tier economics'!C5*'PM Repair sensitivity'!B6</f>
        <v>20</v>
      </c>
      <c r="F5" s="13" t="n">
        <f aca="false">'PM Hypothetical assumptions'!B11*'PM Hypothetical assumptions'!B12</f>
        <v>5</v>
      </c>
      <c r="G5" s="13" t="n">
        <f aca="false">'PM Hypothetical assumptions'!B11*'PM Repair sensitivity'!B6</f>
        <v>100</v>
      </c>
      <c r="H5" s="13" t="n">
        <f aca="false">IF(IF(EXACT("Individual","Individual"),IF('PM Hypothetical assumptions'!B19="","",'PM Hypothetical assumptions'!B19),IF('PM Hypothetical assumptions'!B20="","",'PM Hypothetical assumptions'!B20))="",0,IF(EXACT("Individual","Individual"),IF('PM Hypothetical assumptions'!B19="","",'PM Hypothetical assumptions'!B19),IF('PM Hypothetical assumptions'!B20="","",'PM Hypothetical assumptions'!B20)))*'PM Hypothetical assumptions'!B18</f>
        <v>2.5</v>
      </c>
      <c r="I5" s="13" t="n">
        <f aca="false">IF(EXACT("Individual","Individual"),IF('PM Hypothetical assumptions'!B23="","",'PM Hypothetical assumptions'!B23),IF('PM Hypothetical assumptions'!B24="","",'PM Hypothetical assumptions'!B24))</f>
        <v>0.25</v>
      </c>
      <c r="J5" s="13" t="n">
        <f aca="false">'PM Tier economics'!B5*(1-'PM Hypothetical assumptions'!B16)-'PM Hypothetical assumptions'!B17-'PM Tier economics'!D5-'PM Tier economics'!H5-'PM Tier economics'!I5</f>
        <v>14.399</v>
      </c>
      <c r="K5" s="13" t="n">
        <f aca="false">'PM Tier economics'!B5*(1-'PM Hypothetical assumptions'!B16)-'PM Hypothetical assumptions'!B17-'PM Tier economics'!E5-'PM Tier economics'!H5-'PM Tier economics'!I5</f>
        <v>-4.601</v>
      </c>
      <c r="L5" s="13" t="n">
        <f aca="false">IF(IF(EXACT("Individual","Individual"),IF('PM Hypothetical assumptions'!B21="","",'PM Hypothetical assumptions'!B21),IF('PM Hypothetical assumptions'!B22="","",'PM Hypothetical assumptions'!B22))="",0,IF(EXACT("Individual","Individual"),IF('PM Hypothetical assumptions'!B21="","",'PM Hypothetical assumptions'!B21),IF('PM Hypothetical assumptions'!B22="","",'PM Hypothetical assumptions'!B22)))*'PM Hypothetical assumptions'!B18</f>
        <v>3.75</v>
      </c>
      <c r="M5" s="13" t="n">
        <f aca="false">IF(EXACT("Individual","Individual"),IF('PM Hypothetical assumptions'!B25="","",'PM Hypothetical assumptions'!B25),IF('PM Hypothetical assumptions'!B26="","",'PM Hypothetical assumptions'!B26))</f>
        <v>0.75</v>
      </c>
      <c r="N5" s="13" t="n">
        <f aca="false">'PM Tier economics'!B5*(1-'PM Hypothetical assumptions'!B16)-'PM Hypothetical assumptions'!B17-'PM Tier economics'!D5-'PM Tier economics'!L5-'PM Tier economics'!M5</f>
        <v>12.649</v>
      </c>
      <c r="O5" s="13" t="n">
        <f aca="false">'PM Tier economics'!B5*(1-'PM Hypothetical assumptions'!B16)-'PM Hypothetical assumptions'!B17-'PM Tier economics'!E5-'PM Tier economics'!L5-'PM Tier economics'!M5</f>
        <v>-6.351</v>
      </c>
    </row>
    <row r="6" customFormat="false" ht="18" hidden="false" customHeight="false" outlineLevel="0" collapsed="false">
      <c r="A6" s="6" t="s">
        <v>154</v>
      </c>
      <c r="B6" s="13" t="n">
        <f aca="false">IF(EXACT("Team","Individual"),IF('PM Hypothetical assumptions'!B7="","",'PM Hypothetical assumptions'!B7),IF('PM Hypothetical assumptions'!B8="","",'PM Hypothetical assumptions'!B8))</f>
        <v>99</v>
      </c>
      <c r="C6" s="13" t="n">
        <f aca="false">IF(EXACT("Team","Individual"),IF('PM Hypothetical assumptions'!B9="","",'PM Hypothetical assumptions'!B9),IF('PM Hypothetical assumptions'!B10="","",'PM Hypothetical assumptions'!B10))</f>
        <v>100</v>
      </c>
      <c r="D6" s="13" t="n">
        <f aca="false">'PM Tier economics'!C6*'PM Hypothetical assumptions'!B12</f>
        <v>5</v>
      </c>
      <c r="E6" s="13" t="n">
        <f aca="false">'PM Tier economics'!C6*'PM Repair sensitivity'!B6</f>
        <v>100</v>
      </c>
      <c r="F6" s="13" t="n">
        <f aca="false">'PM Hypothetical assumptions'!B11*'PM Hypothetical assumptions'!B12</f>
        <v>5</v>
      </c>
      <c r="G6" s="13" t="n">
        <f aca="false">'PM Hypothetical assumptions'!B11*'PM Repair sensitivity'!B6</f>
        <v>100</v>
      </c>
      <c r="H6" s="13" t="n">
        <f aca="false">IF(IF(EXACT("Team","Individual"),IF('PM Hypothetical assumptions'!B19="","",'PM Hypothetical assumptions'!B19),IF('PM Hypothetical assumptions'!B20="","",'PM Hypothetical assumptions'!B20))="",0,IF(EXACT("Team","Individual"),IF('PM Hypothetical assumptions'!B19="","",'PM Hypothetical assumptions'!B19),IF('PM Hypothetical assumptions'!B20="","",'PM Hypothetical assumptions'!B20)))*'PM Hypothetical assumptions'!B18</f>
        <v>10</v>
      </c>
      <c r="I6" s="13" t="n">
        <f aca="false">IF(EXACT("Team","Individual"),IF('PM Hypothetical assumptions'!B23="","",'PM Hypothetical assumptions'!B23),IF('PM Hypothetical assumptions'!B24="","",'PM Hypothetical assumptions'!B24))</f>
        <v>0.75</v>
      </c>
      <c r="J6" s="13" t="n">
        <f aca="false">'PM Tier economics'!B6*(1-'PM Hypothetical assumptions'!B16)-'PM Hypothetical assumptions'!B17-'PM Tier economics'!D6-'PM Tier economics'!H6-'PM Tier economics'!I6</f>
        <v>80.079</v>
      </c>
      <c r="K6" s="13" t="n">
        <f aca="false">'PM Tier economics'!B6*(1-'PM Hypothetical assumptions'!B16)-'PM Hypothetical assumptions'!B17-'PM Tier economics'!E6-'PM Tier economics'!H6-'PM Tier economics'!I6</f>
        <v>-14.921</v>
      </c>
      <c r="L6" s="13" t="n">
        <f aca="false">IF(IF(EXACT("Team","Individual"),IF('PM Hypothetical assumptions'!B21="","",'PM Hypothetical assumptions'!B21),IF('PM Hypothetical assumptions'!B22="","",'PM Hypothetical assumptions'!B22))="",0,IF(EXACT("Team","Individual"),IF('PM Hypothetical assumptions'!B21="","",'PM Hypothetical assumptions'!B21),IF('PM Hypothetical assumptions'!B22="","",'PM Hypothetical assumptions'!B22)))*'PM Hypothetical assumptions'!B18</f>
        <v>15</v>
      </c>
      <c r="M6" s="13" t="n">
        <f aca="false">IF(EXACT("Team","Individual"),IF('PM Hypothetical assumptions'!B25="","",'PM Hypothetical assumptions'!B25),IF('PM Hypothetical assumptions'!B26="","",'PM Hypothetical assumptions'!B26))</f>
        <v>3</v>
      </c>
      <c r="N6" s="13" t="n">
        <f aca="false">'PM Tier economics'!B6*(1-'PM Hypothetical assumptions'!B16)-'PM Hypothetical assumptions'!B17-'PM Tier economics'!D6-'PM Tier economics'!L6-'PM Tier economics'!M6</f>
        <v>72.829</v>
      </c>
      <c r="O6" s="13" t="n">
        <f aca="false">'PM Tier economics'!B6*(1-'PM Hypothetical assumptions'!B16)-'PM Hypothetical assumptions'!B17-'PM Tier economics'!E6-'PM Tier economics'!L6-'PM Tier economics'!M6</f>
        <v>-22.171</v>
      </c>
    </row>
  </sheetData>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37" min="2" style="0" width="19"/>
  </cols>
  <sheetData>
    <row r="1" customFormat="false" ht="31.5" hidden="false" customHeight="true" outlineLevel="0" collapsed="false">
      <c r="A1" s="2" t="s">
        <v>155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ustomFormat="false" ht="19.5" hidden="false" customHeight="true" outlineLevel="0" collapsed="false">
      <c r="A2" s="3" t="s">
        <v>18</v>
      </c>
    </row>
    <row r="4" customFormat="false" ht="21.75" hidden="false" customHeight="true" outlineLevel="0" collapsed="false">
      <c r="A4" s="4" t="s">
        <v>19</v>
      </c>
      <c r="B4" s="15" t="s">
        <v>156</v>
      </c>
      <c r="C4" s="15" t="s">
        <v>157</v>
      </c>
      <c r="D4" s="15" t="s">
        <v>158</v>
      </c>
      <c r="E4" s="5" t="s">
        <v>159</v>
      </c>
      <c r="F4" s="5" t="s">
        <v>160</v>
      </c>
      <c r="G4" s="5" t="s">
        <v>161</v>
      </c>
      <c r="H4" s="5" t="s">
        <v>162</v>
      </c>
      <c r="I4" s="5" t="s">
        <v>163</v>
      </c>
      <c r="J4" s="5" t="s">
        <v>164</v>
      </c>
      <c r="K4" s="15" t="s">
        <v>165</v>
      </c>
      <c r="L4" s="15" t="s">
        <v>166</v>
      </c>
      <c r="M4" s="15" t="s">
        <v>167</v>
      </c>
      <c r="N4" s="5" t="s">
        <v>168</v>
      </c>
      <c r="O4" s="5" t="s">
        <v>169</v>
      </c>
      <c r="P4" s="5" t="s">
        <v>170</v>
      </c>
      <c r="Q4" s="5" t="s">
        <v>171</v>
      </c>
      <c r="R4" s="5" t="s">
        <v>172</v>
      </c>
      <c r="S4" s="5" t="s">
        <v>173</v>
      </c>
      <c r="T4" s="15" t="s">
        <v>174</v>
      </c>
      <c r="U4" s="15" t="s">
        <v>175</v>
      </c>
      <c r="V4" s="15" t="s">
        <v>176</v>
      </c>
      <c r="W4" s="5" t="s">
        <v>177</v>
      </c>
      <c r="X4" s="5" t="s">
        <v>178</v>
      </c>
      <c r="Y4" s="5" t="s">
        <v>179</v>
      </c>
      <c r="Z4" s="5" t="s">
        <v>180</v>
      </c>
      <c r="AA4" s="5" t="s">
        <v>181</v>
      </c>
      <c r="AB4" s="5" t="s">
        <v>182</v>
      </c>
      <c r="AC4" s="15" t="s">
        <v>183</v>
      </c>
      <c r="AD4" s="15" t="s">
        <v>184</v>
      </c>
      <c r="AE4" s="15" t="s">
        <v>185</v>
      </c>
      <c r="AF4" s="5" t="s">
        <v>186</v>
      </c>
      <c r="AG4" s="5" t="s">
        <v>187</v>
      </c>
      <c r="AH4" s="5" t="s">
        <v>188</v>
      </c>
      <c r="AI4" s="5" t="s">
        <v>189</v>
      </c>
      <c r="AJ4" s="5" t="s">
        <v>190</v>
      </c>
      <c r="AK4" s="5" t="s">
        <v>191</v>
      </c>
    </row>
    <row r="5" customFormat="false" ht="18" hidden="false" customHeight="false" outlineLevel="0" collapsed="false">
      <c r="A5" s="6" t="s">
        <v>192</v>
      </c>
      <c r="B5" s="13" t="n">
        <f aca="false">'PM Hypothetical assumptions'!B13-'PM Hypothetical assumptions'!B14-'PM Monthly economics'!B24</f>
        <v>2575</v>
      </c>
      <c r="C5" s="13" t="n">
        <f aca="false">'Model inputs'!B127-'Model inputs'!B145-'PM Monthly economics'!C24</f>
        <v>4866.8</v>
      </c>
      <c r="D5" s="13" t="n">
        <f aca="false">'Model inputs'!B129-'Model inputs'!B147-'PM Monthly economics'!D24</f>
        <v>13294</v>
      </c>
      <c r="E5" s="13" t="n">
        <f aca="false">'PM 12-month cash projection'!B5-'PM Monthly economics'!B24</f>
        <v>1650</v>
      </c>
      <c r="F5" s="13" t="n">
        <f aca="false">'PM 12-month cash projection'!C5-'PM Monthly economics'!C24</f>
        <v>6233.6</v>
      </c>
      <c r="G5" s="13" t="n">
        <f aca="false">'PM 12-month cash projection'!D5-'PM Monthly economics'!D24</f>
        <v>23088</v>
      </c>
      <c r="H5" s="13" t="n">
        <f aca="false">'PM 12-month cash projection'!E5-'PM Monthly economics'!B24</f>
        <v>725</v>
      </c>
      <c r="I5" s="13" t="n">
        <f aca="false">'PM 12-month cash projection'!F5-'PM Monthly economics'!C24</f>
        <v>7600.4</v>
      </c>
      <c r="J5" s="13" t="n">
        <f aca="false">'PM 12-month cash projection'!G5-'PM Monthly economics'!D24</f>
        <v>32882</v>
      </c>
      <c r="K5" s="13" t="n">
        <f aca="false">'PM 12-month cash projection'!H5-'PM Monthly economics'!B24</f>
        <v>-200</v>
      </c>
      <c r="L5" s="13" t="n">
        <f aca="false">'PM 12-month cash projection'!I5-'PM Monthly economics'!C24</f>
        <v>8967.2</v>
      </c>
      <c r="M5" s="13" t="n">
        <f aca="false">'PM 12-month cash projection'!J5-'PM Monthly economics'!D24</f>
        <v>42676</v>
      </c>
      <c r="N5" s="13" t="n">
        <f aca="false">'PM 12-month cash projection'!K5-'PM Monthly economics'!B24</f>
        <v>-1125</v>
      </c>
      <c r="O5" s="13" t="n">
        <f aca="false">'PM 12-month cash projection'!L5-'PM Monthly economics'!C24</f>
        <v>10334</v>
      </c>
      <c r="P5" s="13" t="n">
        <f aca="false">'PM 12-month cash projection'!M5-'PM Monthly economics'!D24</f>
        <v>52470</v>
      </c>
      <c r="Q5" s="13" t="n">
        <f aca="false">'PM 12-month cash projection'!N5-'PM Monthly economics'!B24</f>
        <v>-2050</v>
      </c>
      <c r="R5" s="13" t="n">
        <f aca="false">'PM 12-month cash projection'!O5-'PM Monthly economics'!C24</f>
        <v>11700.8</v>
      </c>
      <c r="S5" s="13" t="n">
        <f aca="false">'PM 12-month cash projection'!P5-'PM Monthly economics'!D24</f>
        <v>62264</v>
      </c>
      <c r="T5" s="13" t="n">
        <f aca="false">'PM 12-month cash projection'!Q5-'PM Monthly economics'!B24</f>
        <v>-2975</v>
      </c>
      <c r="U5" s="13" t="n">
        <f aca="false">'PM 12-month cash projection'!R5-'PM Monthly economics'!C24</f>
        <v>13067.6</v>
      </c>
      <c r="V5" s="13" t="n">
        <f aca="false">'PM 12-month cash projection'!S5-'PM Monthly economics'!D24</f>
        <v>72058</v>
      </c>
      <c r="W5" s="13" t="n">
        <f aca="false">'PM 12-month cash projection'!T5-'PM Monthly economics'!B24</f>
        <v>-3900</v>
      </c>
      <c r="X5" s="13" t="n">
        <f aca="false">'PM 12-month cash projection'!U5-'PM Monthly economics'!C24</f>
        <v>14434.4</v>
      </c>
      <c r="Y5" s="13" t="n">
        <f aca="false">'PM 12-month cash projection'!V5-'PM Monthly economics'!D24</f>
        <v>81852</v>
      </c>
      <c r="Z5" s="13" t="n">
        <f aca="false">'PM 12-month cash projection'!W5-'PM Monthly economics'!B24</f>
        <v>-4825</v>
      </c>
      <c r="AA5" s="13" t="n">
        <f aca="false">'PM 12-month cash projection'!X5-'PM Monthly economics'!C24</f>
        <v>15801.2</v>
      </c>
      <c r="AB5" s="13" t="n">
        <f aca="false">'PM 12-month cash projection'!Y5-'PM Monthly economics'!D24</f>
        <v>91646</v>
      </c>
      <c r="AC5" s="13" t="n">
        <f aca="false">'PM 12-month cash projection'!Z5-'PM Monthly economics'!B24</f>
        <v>-5750</v>
      </c>
      <c r="AD5" s="13" t="n">
        <f aca="false">'PM 12-month cash projection'!AA5-'PM Monthly economics'!C24</f>
        <v>17168</v>
      </c>
      <c r="AE5" s="13" t="n">
        <f aca="false">'PM 12-month cash projection'!AB5-'PM Monthly economics'!D24</f>
        <v>101440</v>
      </c>
      <c r="AF5" s="13" t="n">
        <f aca="false">'PM 12-month cash projection'!AC5-'PM Monthly economics'!B24</f>
        <v>-6675</v>
      </c>
      <c r="AG5" s="13" t="n">
        <f aca="false">'PM 12-month cash projection'!AD5-'PM Monthly economics'!C24</f>
        <v>18534.8</v>
      </c>
      <c r="AH5" s="13" t="n">
        <f aca="false">'PM 12-month cash projection'!AE5-'PM Monthly economics'!D24</f>
        <v>111234</v>
      </c>
      <c r="AI5" s="13" t="n">
        <f aca="false">'PM 12-month cash projection'!AF5-'PM Monthly economics'!B24</f>
        <v>-7600</v>
      </c>
      <c r="AJ5" s="13" t="n">
        <f aca="false">'PM 12-month cash projection'!AG5-'PM Monthly economics'!C24</f>
        <v>19901.6</v>
      </c>
      <c r="AK5" s="13" t="n">
        <f aca="false">'PM 12-month cash projection'!AH5-'PM Monthly economics'!D24</f>
        <v>121028</v>
      </c>
    </row>
    <row r="6" customFormat="false" ht="18" hidden="false" customHeight="false" outlineLevel="0" collapsed="false">
      <c r="A6" s="6" t="s">
        <v>193</v>
      </c>
      <c r="B6" s="13" t="n">
        <f aca="false">'PM Hypothetical assumptions'!B13-'PM Hypothetical assumptions'!B14-'PM Monthly economics'!B42</f>
        <v>1800</v>
      </c>
      <c r="C6" s="13" t="n">
        <f aca="false">'Model inputs'!B127-'Model inputs'!B145-'PM Monthly economics'!C42</f>
        <v>3958.8</v>
      </c>
      <c r="D6" s="13" t="n">
        <f aca="false">'Model inputs'!B129-'Model inputs'!B147-'PM Monthly economics'!D42</f>
        <v>11234</v>
      </c>
      <c r="E6" s="13" t="n">
        <f aca="false">'PM 12-month cash projection'!B6-'PM Monthly economics'!B42</f>
        <v>100</v>
      </c>
      <c r="F6" s="13" t="n">
        <f aca="false">'PM 12-month cash projection'!C6-'PM Monthly economics'!C42</f>
        <v>4417.6</v>
      </c>
      <c r="G6" s="13" t="n">
        <f aca="false">'PM 12-month cash projection'!D6-'PM Monthly economics'!D42</f>
        <v>18968</v>
      </c>
      <c r="H6" s="13" t="n">
        <f aca="false">'PM 12-month cash projection'!E6-'PM Monthly economics'!B42</f>
        <v>-1600</v>
      </c>
      <c r="I6" s="13" t="n">
        <f aca="false">'PM 12-month cash projection'!F6-'PM Monthly economics'!C42</f>
        <v>4876.4</v>
      </c>
      <c r="J6" s="13" t="n">
        <f aca="false">'PM 12-month cash projection'!G6-'PM Monthly economics'!D42</f>
        <v>26702</v>
      </c>
      <c r="K6" s="13" t="n">
        <f aca="false">'PM 12-month cash projection'!H6-'PM Monthly economics'!B42</f>
        <v>-3300</v>
      </c>
      <c r="L6" s="13" t="n">
        <f aca="false">'PM 12-month cash projection'!I6-'PM Monthly economics'!C42</f>
        <v>5335.2</v>
      </c>
      <c r="M6" s="13" t="n">
        <f aca="false">'PM 12-month cash projection'!J6-'PM Monthly economics'!D42</f>
        <v>34436</v>
      </c>
      <c r="N6" s="13" t="n">
        <f aca="false">'PM 12-month cash projection'!K6-'PM Monthly economics'!B42</f>
        <v>-5000</v>
      </c>
      <c r="O6" s="13" t="n">
        <f aca="false">'PM 12-month cash projection'!L6-'PM Monthly economics'!C42</f>
        <v>5794</v>
      </c>
      <c r="P6" s="13" t="n">
        <f aca="false">'PM 12-month cash projection'!M6-'PM Monthly economics'!D42</f>
        <v>42170</v>
      </c>
      <c r="Q6" s="13" t="n">
        <f aca="false">'PM 12-month cash projection'!N6-'PM Monthly economics'!B42</f>
        <v>-6700</v>
      </c>
      <c r="R6" s="13" t="n">
        <f aca="false">'PM 12-month cash projection'!O6-'PM Monthly economics'!C42</f>
        <v>6252.8</v>
      </c>
      <c r="S6" s="13" t="n">
        <f aca="false">'PM 12-month cash projection'!P6-'PM Monthly economics'!D42</f>
        <v>49904</v>
      </c>
      <c r="T6" s="13" t="n">
        <f aca="false">'PM 12-month cash projection'!Q6-'PM Monthly economics'!B42</f>
        <v>-8400</v>
      </c>
      <c r="U6" s="13" t="n">
        <f aca="false">'PM 12-month cash projection'!R6-'PM Monthly economics'!C42</f>
        <v>6711.6</v>
      </c>
      <c r="V6" s="13" t="n">
        <f aca="false">'PM 12-month cash projection'!S6-'PM Monthly economics'!D42</f>
        <v>57638</v>
      </c>
      <c r="W6" s="13" t="n">
        <f aca="false">'PM 12-month cash projection'!T6-'PM Monthly economics'!B42</f>
        <v>-10100</v>
      </c>
      <c r="X6" s="13" t="n">
        <f aca="false">'PM 12-month cash projection'!U6-'PM Monthly economics'!C42</f>
        <v>7170.4</v>
      </c>
      <c r="Y6" s="13" t="n">
        <f aca="false">'PM 12-month cash projection'!V6-'PM Monthly economics'!D42</f>
        <v>65372</v>
      </c>
      <c r="Z6" s="13" t="n">
        <f aca="false">'PM 12-month cash projection'!W6-'PM Monthly economics'!B42</f>
        <v>-11800</v>
      </c>
      <c r="AA6" s="13" t="n">
        <f aca="false">'PM 12-month cash projection'!X6-'PM Monthly economics'!C42</f>
        <v>7629.2</v>
      </c>
      <c r="AB6" s="13" t="n">
        <f aca="false">'PM 12-month cash projection'!Y6-'PM Monthly economics'!D42</f>
        <v>73106</v>
      </c>
      <c r="AC6" s="13" t="n">
        <f aca="false">'PM 12-month cash projection'!Z6-'PM Monthly economics'!B42</f>
        <v>-13500</v>
      </c>
      <c r="AD6" s="13" t="n">
        <f aca="false">'PM 12-month cash projection'!AA6-'PM Monthly economics'!C42</f>
        <v>8088</v>
      </c>
      <c r="AE6" s="13" t="n">
        <f aca="false">'PM 12-month cash projection'!AB6-'PM Monthly economics'!D42</f>
        <v>80840</v>
      </c>
      <c r="AF6" s="13" t="n">
        <f aca="false">'PM 12-month cash projection'!AC6-'PM Monthly economics'!B42</f>
        <v>-15200</v>
      </c>
      <c r="AG6" s="13" t="n">
        <f aca="false">'PM 12-month cash projection'!AD6-'PM Monthly economics'!C42</f>
        <v>8546.8</v>
      </c>
      <c r="AH6" s="13" t="n">
        <f aca="false">'PM 12-month cash projection'!AE6-'PM Monthly economics'!D42</f>
        <v>88574</v>
      </c>
      <c r="AI6" s="13" t="n">
        <f aca="false">'PM 12-month cash projection'!AF6-'PM Monthly economics'!B42</f>
        <v>-16900</v>
      </c>
      <c r="AJ6" s="13" t="n">
        <f aca="false">'PM 12-month cash projection'!AG6-'PM Monthly economics'!C42</f>
        <v>9005.6</v>
      </c>
      <c r="AK6" s="13" t="n">
        <f aca="false">'PM 12-month cash projection'!AH6-'PM Monthly economics'!D42</f>
        <v>96308</v>
      </c>
    </row>
  </sheetData>
  <mergeCells count="1">
    <mergeCell ref="A1:A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2" min="2" style="0" width="19"/>
  </cols>
  <sheetData>
    <row r="1" customFormat="false" ht="31.5" hidden="false" customHeight="true" outlineLevel="0" collapsed="false">
      <c r="A1" s="2" t="s">
        <v>194</v>
      </c>
      <c r="B1" s="2"/>
    </row>
    <row r="2" customFormat="false" ht="19.5" hidden="false" customHeight="true" outlineLevel="0" collapsed="false">
      <c r="A2" s="3" t="s">
        <v>18</v>
      </c>
    </row>
    <row r="4" customFormat="false" ht="21.75" hidden="false" customHeight="true" outlineLevel="0" collapsed="false">
      <c r="A4" s="4" t="s">
        <v>19</v>
      </c>
      <c r="B4" s="5" t="s">
        <v>20</v>
      </c>
    </row>
    <row r="5" customFormat="false" ht="18" hidden="false" customHeight="false" outlineLevel="0" collapsed="false">
      <c r="A5" s="6" t="s">
        <v>195</v>
      </c>
      <c r="B5" s="16" t="n">
        <f aca="false">0.2</f>
        <v>0.2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0" outlineLevelCol="0"/>
  <cols>
    <col collapsed="false" customWidth="true" hidden="false" outlineLevel="0" max="1" min="1" style="0" width="40"/>
    <col collapsed="false" customWidth="true" hidden="false" outlineLevel="0" max="2" min="2" style="0" width="19"/>
  </cols>
  <sheetData>
    <row r="1" customFormat="false" ht="31.5" hidden="false" customHeight="true" outlineLevel="0" collapsed="false">
      <c r="A1" s="2" t="s">
        <v>196</v>
      </c>
      <c r="B1" s="2"/>
    </row>
    <row r="2" customFormat="false" ht="19.5" hidden="false" customHeight="true" outlineLevel="0" collapsed="false">
      <c r="A2" s="3" t="s">
        <v>18</v>
      </c>
    </row>
    <row r="4" customFormat="false" ht="21.75" hidden="false" customHeight="true" outlineLevel="0" collapsed="false">
      <c r="A4" s="4" t="s">
        <v>19</v>
      </c>
      <c r="B4" s="5" t="s">
        <v>20</v>
      </c>
    </row>
    <row r="5" customFormat="false" ht="18" hidden="false" customHeight="false" outlineLevel="0" collapsed="false">
      <c r="A5" s="6" t="s">
        <v>197</v>
      </c>
      <c r="B5" s="12" t="n">
        <f aca="false">'PM Monthly economics'!B18+'PM Monthly economics'!B21+'PM Monthly economics'!B22</f>
        <v>925</v>
      </c>
    </row>
    <row r="6" customFormat="false" ht="18" hidden="false" customHeight="false" outlineLevel="0" collapsed="false">
      <c r="A6" s="8" t="s">
        <v>198</v>
      </c>
      <c r="B6" s="10" t="n">
        <f aca="false">MAX(0,'PM Monthly economics'!B9-'PM Tax reserve calculation'!B5)*'PM Tax reserve assumption'!B5</f>
        <v>0</v>
      </c>
    </row>
    <row r="7" customFormat="false" ht="18" hidden="false" customHeight="false" outlineLevel="0" collapsed="false">
      <c r="A7" s="8" t="s">
        <v>199</v>
      </c>
      <c r="B7" s="10" t="n">
        <f aca="false">'PM Monthly economics'!B36+'PM Monthly economics'!B39+'PM Monthly economics'!B40</f>
        <v>1700</v>
      </c>
    </row>
    <row r="8" customFormat="false" ht="18" hidden="false" customHeight="false" outlineLevel="0" collapsed="false">
      <c r="A8" s="6" t="s">
        <v>200</v>
      </c>
      <c r="B8" s="12" t="n">
        <f aca="false">MAX(0,'PM Monthly economics'!B9-'PM Tax reserve calculation'!B7)*'PM Tax reserve assumption'!B5</f>
        <v>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8" zeroHeight="false" outlineLevelRow="1" outlineLevelCol="0"/>
  <cols>
    <col collapsed="false" customWidth="true" hidden="false" outlineLevel="0" max="1" min="1" style="0" width="42"/>
    <col collapsed="false" customWidth="true" hidden="false" outlineLevel="0" max="24" min="2" style="0" width="19"/>
  </cols>
  <sheetData>
    <row r="1" customFormat="false" ht="31.5" hidden="false" customHeight="true" outlineLevel="0" collapsed="false">
      <c r="A1" s="2" t="s">
        <v>201</v>
      </c>
      <c r="B1" s="2"/>
      <c r="C1" s="2"/>
      <c r="D1" s="2"/>
      <c r="E1" s="2"/>
      <c r="F1" s="2"/>
      <c r="G1" s="2"/>
      <c r="H1" s="2"/>
      <c r="I1" s="2"/>
      <c r="J1" s="2"/>
      <c r="K1" s="2"/>
      <c r="L1" s="2"/>
      <c r="M1" s="2"/>
      <c r="N1" s="2"/>
      <c r="O1" s="2"/>
      <c r="P1" s="2"/>
      <c r="Q1" s="2"/>
      <c r="R1" s="2"/>
      <c r="S1" s="2"/>
      <c r="T1" s="2"/>
      <c r="U1" s="2"/>
      <c r="V1" s="2"/>
      <c r="W1" s="2"/>
      <c r="X1" s="2"/>
    </row>
    <row r="2" customFormat="false" ht="19.5" hidden="false" customHeight="true" outlineLevel="0" collapsed="false">
      <c r="A2" s="17" t="s">
        <v>202</v>
      </c>
      <c r="B2" s="17"/>
      <c r="C2" s="17"/>
      <c r="D2" s="17"/>
      <c r="E2" s="17"/>
      <c r="F2" s="17"/>
      <c r="G2" s="17"/>
      <c r="H2" s="17"/>
      <c r="I2" s="17"/>
      <c r="J2" s="17"/>
      <c r="K2" s="17"/>
      <c r="L2" s="17"/>
      <c r="M2" s="17"/>
      <c r="N2" s="17"/>
      <c r="O2" s="17"/>
      <c r="P2" s="17"/>
      <c r="Q2" s="17"/>
      <c r="R2" s="17"/>
      <c r="S2" s="17"/>
      <c r="T2" s="17"/>
      <c r="U2" s="17"/>
      <c r="V2" s="17"/>
      <c r="W2" s="17"/>
      <c r="X2" s="17"/>
    </row>
    <row r="4" customFormat="false" ht="18" hidden="false" customHeight="false" outlineLevel="0" collapsed="false">
      <c r="A4" s="18" t="s">
        <v>203</v>
      </c>
    </row>
    <row r="5" customFormat="false" ht="21.75" hidden="false" customHeight="true" outlineLevel="0" collapsed="false">
      <c r="A5" s="4" t="s">
        <v>204</v>
      </c>
      <c r="B5" s="5" t="s">
        <v>20</v>
      </c>
      <c r="C5" s="5" t="s">
        <v>20</v>
      </c>
      <c r="D5" s="5" t="s">
        <v>205</v>
      </c>
      <c r="E5" s="15" t="s">
        <v>156</v>
      </c>
      <c r="F5" s="5" t="s">
        <v>159</v>
      </c>
      <c r="G5" s="5" t="s">
        <v>162</v>
      </c>
      <c r="H5" s="15" t="s">
        <v>165</v>
      </c>
      <c r="I5" s="5" t="s">
        <v>168</v>
      </c>
      <c r="J5" s="5" t="s">
        <v>171</v>
      </c>
      <c r="K5" s="15" t="s">
        <v>174</v>
      </c>
      <c r="L5" s="5" t="s">
        <v>177</v>
      </c>
      <c r="M5" s="5" t="s">
        <v>180</v>
      </c>
      <c r="N5" s="15" t="s">
        <v>183</v>
      </c>
      <c r="O5" s="5" t="s">
        <v>186</v>
      </c>
      <c r="P5" s="5" t="s">
        <v>189</v>
      </c>
      <c r="Q5" s="15" t="s">
        <v>206</v>
      </c>
      <c r="R5" s="5" t="s">
        <v>207</v>
      </c>
      <c r="S5" s="5" t="s">
        <v>208</v>
      </c>
      <c r="T5" s="15" t="s">
        <v>209</v>
      </c>
      <c r="U5" s="5" t="s">
        <v>210</v>
      </c>
      <c r="V5" s="5" t="s">
        <v>211</v>
      </c>
      <c r="W5" s="15" t="s">
        <v>212</v>
      </c>
      <c r="X5" s="5" t="s">
        <v>213</v>
      </c>
    </row>
    <row r="6" customFormat="false" ht="18" hidden="false" customHeight="false" outlineLevel="0" collapsed="false">
      <c r="A6" s="19" t="s">
        <v>214</v>
      </c>
      <c r="B6" s="11" t="n">
        <f aca="false">'PM Hypothetical assumptions'!B5</f>
        <v>0</v>
      </c>
    </row>
    <row r="7" customFormat="false" ht="18" hidden="false" customHeight="false" outlineLevel="0" collapsed="false">
      <c r="A7" s="19" t="s">
        <v>215</v>
      </c>
      <c r="B7" s="11" t="n">
        <f aca="false">100</f>
        <v>100</v>
      </c>
    </row>
    <row r="8" customFormat="false" ht="18" hidden="false" customHeight="false" outlineLevel="0" collapsed="false">
      <c r="A8" s="19" t="s">
        <v>216</v>
      </c>
      <c r="B8" s="11" t="n">
        <f aca="false">500</f>
        <v>500</v>
      </c>
    </row>
    <row r="9" customFormat="false" ht="18" hidden="false" customHeight="false" outlineLevel="0" collapsed="false">
      <c r="A9" s="19" t="s">
        <v>217</v>
      </c>
      <c r="B9" s="10" t="n">
        <f aca="false">'PM Hypothetical assumptions'!B41</f>
        <v>2500</v>
      </c>
    </row>
    <row r="10" customFormat="false" ht="18" hidden="false" customHeight="false" outlineLevel="0" collapsed="false">
      <c r="A10" s="19" t="s">
        <v>218</v>
      </c>
      <c r="B10" s="10" t="n">
        <f aca="false">'PM Hypothetical assumptions'!B41</f>
        <v>2500</v>
      </c>
    </row>
    <row r="11" customFormat="false" ht="18" hidden="false" customHeight="false" outlineLevel="0" collapsed="false">
      <c r="A11" s="19" t="s">
        <v>219</v>
      </c>
      <c r="B11" s="10" t="n">
        <f aca="false">'PM Hypothetical assumptions'!B34</f>
        <v>40</v>
      </c>
    </row>
    <row r="12" customFormat="false" ht="18" hidden="false" customHeight="false" outlineLevel="0" collapsed="false">
      <c r="A12" s="19" t="s">
        <v>220</v>
      </c>
      <c r="B12" s="10" t="n">
        <f aca="false">'PM Hypothetical assumptions'!B34</f>
        <v>40</v>
      </c>
    </row>
    <row r="13" customFormat="false" ht="18" hidden="false" customHeight="false" outlineLevel="0" collapsed="false">
      <c r="A13" s="19" t="s">
        <v>221</v>
      </c>
      <c r="B13" s="10" t="n">
        <f aca="false">'PM Hypothetical assumptions'!B34</f>
        <v>40</v>
      </c>
    </row>
    <row r="14" customFormat="false" ht="18" hidden="false" customHeight="false" outlineLevel="0" collapsed="false">
      <c r="A14" s="19" t="s">
        <v>222</v>
      </c>
      <c r="B14" s="11" t="n">
        <f aca="false">'PM Hypothetical assumptions'!B28</f>
        <v>150</v>
      </c>
    </row>
    <row r="15" customFormat="false" ht="18" hidden="false" customHeight="false" outlineLevel="0" collapsed="false">
      <c r="A15" s="19" t="s">
        <v>223</v>
      </c>
      <c r="B15" s="11" t="n">
        <f aca="false">'PM Hypothetical assumptions'!B28</f>
        <v>150</v>
      </c>
    </row>
    <row r="16" customFormat="false" ht="18" hidden="false" customHeight="false" outlineLevel="0" collapsed="false">
      <c r="A16" s="19" t="s">
        <v>224</v>
      </c>
      <c r="B16" s="11" t="n">
        <f aca="false">'PM Hypothetical assumptions'!B28</f>
        <v>150</v>
      </c>
    </row>
    <row r="17" customFormat="false" ht="18" hidden="false" customHeight="false" outlineLevel="0" collapsed="false">
      <c r="A17" s="19" t="s">
        <v>225</v>
      </c>
      <c r="B17" s="10" t="n">
        <f aca="false">'PM Hypothetical assumptions'!B36</f>
        <v>1000</v>
      </c>
    </row>
    <row r="18" customFormat="false" ht="18" hidden="false" customHeight="false" outlineLevel="0" collapsed="false">
      <c r="A18" s="19" t="s">
        <v>226</v>
      </c>
      <c r="B18" s="10" t="n">
        <f aca="false">'PM Hypothetical assumptions'!B36</f>
        <v>1000</v>
      </c>
    </row>
    <row r="19" customFormat="false" ht="18" hidden="false" customHeight="false" outlineLevel="0" collapsed="false">
      <c r="A19" s="19" t="s">
        <v>227</v>
      </c>
      <c r="B19" s="10" t="n">
        <f aca="false">'PM Hypothetical assumptions'!B36</f>
        <v>1000</v>
      </c>
    </row>
    <row r="20" customFormat="false" ht="18" hidden="false" customHeight="false" outlineLevel="0" collapsed="false">
      <c r="A20" s="19" t="s">
        <v>228</v>
      </c>
      <c r="B20" s="10" t="n">
        <f aca="false">'PM Hypothetical assumptions'!B38</f>
        <v>300</v>
      </c>
    </row>
    <row r="21" customFormat="false" ht="18" hidden="false" customHeight="false" outlineLevel="0" collapsed="false">
      <c r="A21" s="19" t="s">
        <v>229</v>
      </c>
      <c r="B21" s="10" t="n">
        <f aca="false">'PM Hypothetical assumptions'!B38</f>
        <v>300</v>
      </c>
    </row>
    <row r="22" customFormat="false" ht="18" hidden="false" customHeight="false" outlineLevel="0" collapsed="false">
      <c r="A22" s="19" t="s">
        <v>230</v>
      </c>
      <c r="B22" s="10" t="n">
        <f aca="false">'PM Hypothetical assumptions'!B38</f>
        <v>300</v>
      </c>
    </row>
    <row r="23" customFormat="false" ht="18" hidden="false" customHeight="false" outlineLevel="0" collapsed="false">
      <c r="A23" s="19" t="s">
        <v>231</v>
      </c>
      <c r="B23" s="10" t="n">
        <f aca="false">'PM Hypothetical assumptions'!B25</f>
        <v>0.75</v>
      </c>
    </row>
    <row r="24" customFormat="false" ht="18" hidden="false" customHeight="false" outlineLevel="0" collapsed="false">
      <c r="A24" s="19" t="s">
        <v>232</v>
      </c>
      <c r="B24" s="10" t="n">
        <f aca="false">'PM Hypothetical assumptions'!B25</f>
        <v>0.75</v>
      </c>
    </row>
    <row r="25" customFormat="false" ht="18" hidden="false" customHeight="false" outlineLevel="0" collapsed="false">
      <c r="A25" s="19" t="s">
        <v>233</v>
      </c>
      <c r="B25" s="10" t="n">
        <f aca="false">'PM Hypothetical assumptions'!B25</f>
        <v>0.75</v>
      </c>
    </row>
    <row r="26" customFormat="false" ht="18" hidden="false" customHeight="false" outlineLevel="0" collapsed="false">
      <c r="A26" s="19" t="s">
        <v>234</v>
      </c>
      <c r="B26" s="11" t="n">
        <f aca="false">'PM Hypothetical assumptions'!B21</f>
        <v>0.15</v>
      </c>
    </row>
    <row r="27" customFormat="false" ht="18" hidden="false" customHeight="false" outlineLevel="0" collapsed="false">
      <c r="A27" s="19" t="s">
        <v>235</v>
      </c>
      <c r="B27" s="11" t="n">
        <f aca="false">'PM Hypothetical assumptions'!B21</f>
        <v>0.15</v>
      </c>
    </row>
    <row r="28" customFormat="false" ht="18" hidden="false" customHeight="false" outlineLevel="0" collapsed="false">
      <c r="A28" s="19" t="s">
        <v>236</v>
      </c>
      <c r="B28" s="11" t="n">
        <f aca="false">'PM Hypothetical assumptions'!B21</f>
        <v>0.15</v>
      </c>
    </row>
    <row r="29" customFormat="false" ht="18" hidden="false" customHeight="false" outlineLevel="0" collapsed="false">
      <c r="A29" s="19" t="s">
        <v>237</v>
      </c>
      <c r="B29" s="10" t="n">
        <f aca="false">'PM Hypothetical assumptions'!B32</f>
        <v>150</v>
      </c>
    </row>
    <row r="30" customFormat="false" ht="18" hidden="false" customHeight="false" outlineLevel="0" collapsed="false">
      <c r="A30" s="19" t="s">
        <v>238</v>
      </c>
      <c r="B30" s="10" t="n">
        <f aca="false">'PM Hypothetical assumptions'!B32</f>
        <v>150</v>
      </c>
    </row>
    <row r="31" customFormat="false" ht="18" hidden="false" customHeight="false" outlineLevel="0" collapsed="false">
      <c r="A31" s="19" t="s">
        <v>239</v>
      </c>
      <c r="B31" s="10" t="n">
        <f aca="false">'PM Hypothetical assumptions'!B32</f>
        <v>150</v>
      </c>
    </row>
    <row r="32" customFormat="false" ht="18" hidden="false" customHeight="false" outlineLevel="0" collapsed="false">
      <c r="A32" s="19" t="s">
        <v>240</v>
      </c>
      <c r="B32" s="10" t="n">
        <f aca="false">MAX(0,'Model inputs'!B155-'Model inputs'!B41)*'Model inputs'!B171</f>
        <v>0</v>
      </c>
    </row>
    <row r="33" customFormat="false" ht="18" hidden="false" customHeight="false" outlineLevel="0" collapsed="false">
      <c r="A33" s="19" t="s">
        <v>241</v>
      </c>
      <c r="B33" s="10" t="n">
        <f aca="false">MAX(0,'Model inputs'!B156-'Model inputs'!B42)*'Model inputs'!B188</f>
        <v>114.7</v>
      </c>
    </row>
    <row r="34" customFormat="false" ht="18" hidden="false" customHeight="false" outlineLevel="0" collapsed="false">
      <c r="A34" s="19" t="s">
        <v>242</v>
      </c>
      <c r="B34" s="10" t="n">
        <f aca="false">MAX(0,'Model inputs'!B157-'Model inputs'!B43)*'Model inputs'!B189</f>
        <v>1933.5</v>
      </c>
    </row>
    <row r="35" customFormat="false" ht="18" hidden="false" customHeight="false" outlineLevel="0" collapsed="false">
      <c r="A35" s="19" t="s">
        <v>243</v>
      </c>
      <c r="B35" s="10" t="n">
        <f aca="false">'Model inputs'!B149-'Model inputs'!B155</f>
        <v>1700</v>
      </c>
    </row>
    <row r="36" customFormat="false" ht="18" hidden="false" customHeight="false" outlineLevel="0" collapsed="false">
      <c r="A36" s="19" t="s">
        <v>244</v>
      </c>
      <c r="C36" s="10" t="n">
        <f aca="false">'Model inputs'!B149-'Model inputs'!B155</f>
        <v>1700</v>
      </c>
    </row>
    <row r="37" customFormat="false" ht="18" hidden="false" customHeight="false" outlineLevel="0" collapsed="false">
      <c r="A37" s="19" t="s">
        <v>245</v>
      </c>
      <c r="B37" s="10" t="n">
        <f aca="false">'Model inputs'!B150-'Model inputs'!B156</f>
        <v>-458.8</v>
      </c>
    </row>
    <row r="38" customFormat="false" ht="18" hidden="false" customHeight="false" outlineLevel="0" collapsed="false">
      <c r="A38" s="19" t="s">
        <v>246</v>
      </c>
      <c r="C38" s="10" t="n">
        <f aca="false">'Model inputs'!B150-'Model inputs'!B156</f>
        <v>-458.8</v>
      </c>
    </row>
    <row r="39" customFormat="false" ht="18" hidden="false" customHeight="false" outlineLevel="0" collapsed="false">
      <c r="A39" s="19" t="s">
        <v>247</v>
      </c>
      <c r="B39" s="10" t="n">
        <f aca="false">'Model inputs'!B151-'Model inputs'!B157</f>
        <v>-7734</v>
      </c>
    </row>
    <row r="40" customFormat="false" ht="18" hidden="false" customHeight="false" outlineLevel="0" collapsed="false">
      <c r="A40" s="19" t="s">
        <v>248</v>
      </c>
      <c r="C40" s="10" t="n">
        <f aca="false">'Model inputs'!B151-'Model inputs'!B157</f>
        <v>-7734</v>
      </c>
    </row>
    <row r="41" customFormat="false" ht="18" hidden="false" customHeight="false" outlineLevel="0" collapsed="false">
      <c r="A41" s="19" t="s">
        <v>249</v>
      </c>
      <c r="B41" s="10" t="n">
        <f aca="false">'Model inputs'!B168+'Model inputs'!B170+'Model inputs'!B169</f>
        <v>1700</v>
      </c>
    </row>
    <row r="42" customFormat="false" ht="18" hidden="false" customHeight="false" outlineLevel="0" collapsed="false">
      <c r="A42" s="19" t="s">
        <v>250</v>
      </c>
      <c r="B42" s="10" t="n">
        <f aca="false">'Model inputs'!B237+'Model inputs'!B241+'Model inputs'!B239</f>
        <v>2926.5</v>
      </c>
    </row>
    <row r="43" customFormat="false" ht="18" hidden="false" customHeight="false" outlineLevel="0" collapsed="false">
      <c r="A43" s="19" t="s">
        <v>251</v>
      </c>
      <c r="B43" s="10" t="n">
        <f aca="false">'Model inputs'!B238+'Model inputs'!B242+'Model inputs'!B240</f>
        <v>7832.5</v>
      </c>
    </row>
    <row r="44" customFormat="false" ht="18" hidden="false" customHeight="false" outlineLevel="0" collapsed="false">
      <c r="A44" s="19" t="s">
        <v>252</v>
      </c>
      <c r="D44" s="14" t="n">
        <f aca="false">'Model inputs'!X185-'Model inputs'!B35</f>
        <v>-15300</v>
      </c>
      <c r="E44" s="14" t="n">
        <f aca="false">'Model inputs'!B125-'Model inputs'!B143-'Model inputs'!B35</f>
        <v>1800</v>
      </c>
      <c r="F44" s="14" t="n">
        <f aca="false">'Model inputs'!E44-'Model inputs'!B35</f>
        <v>100</v>
      </c>
      <c r="G44" s="14" t="n">
        <f aca="false">'Model inputs'!F44-'Model inputs'!B35</f>
        <v>-1600</v>
      </c>
      <c r="H44" s="14" t="n">
        <f aca="false">'Model inputs'!G44-'Model inputs'!B35</f>
        <v>-3300</v>
      </c>
      <c r="I44" s="14" t="n">
        <f aca="false">'Model inputs'!H44-'Model inputs'!B35</f>
        <v>-5000</v>
      </c>
      <c r="J44" s="14" t="n">
        <f aca="false">'Model inputs'!I44-'Model inputs'!B35</f>
        <v>-6700</v>
      </c>
      <c r="K44" s="14" t="n">
        <f aca="false">'Model inputs'!J44-'Model inputs'!B35</f>
        <v>-8400</v>
      </c>
      <c r="L44" s="14" t="n">
        <f aca="false">'Model inputs'!K44-'Model inputs'!B35</f>
        <v>-10100</v>
      </c>
      <c r="M44" s="14" t="n">
        <f aca="false">'Model inputs'!L44-'Model inputs'!B35</f>
        <v>-11800</v>
      </c>
      <c r="N44" s="14" t="n">
        <f aca="false">'Model inputs'!M44-'Model inputs'!B35</f>
        <v>-13500</v>
      </c>
      <c r="O44" s="14" t="n">
        <f aca="false">'Model inputs'!N44-'Model inputs'!B35</f>
        <v>-15200</v>
      </c>
      <c r="P44" s="14" t="n">
        <f aca="false">'Model inputs'!O44-'Model inputs'!B35</f>
        <v>-16900</v>
      </c>
    </row>
    <row r="45" customFormat="false" ht="18" hidden="false" customHeight="false" outlineLevel="0" collapsed="false">
      <c r="A45" s="19" t="s">
        <v>253</v>
      </c>
      <c r="D45" s="14" t="n">
        <f aca="false">'Model inputs'!X186-'Model inputs'!B37</f>
        <v>4129.2</v>
      </c>
      <c r="E45" s="14" t="n">
        <f aca="false">'Model inputs'!B127-'Model inputs'!B145-'Model inputs'!B37</f>
        <v>3958.8</v>
      </c>
      <c r="F45" s="14" t="n">
        <f aca="false">'Model inputs'!E45-'Model inputs'!B37</f>
        <v>4417.6</v>
      </c>
      <c r="G45" s="14" t="n">
        <f aca="false">'Model inputs'!F45-'Model inputs'!B37</f>
        <v>4876.4</v>
      </c>
      <c r="H45" s="14" t="n">
        <f aca="false">'Model inputs'!G45-'Model inputs'!B37</f>
        <v>5335.2</v>
      </c>
      <c r="I45" s="14" t="n">
        <f aca="false">'Model inputs'!H45-'Model inputs'!B37</f>
        <v>5794</v>
      </c>
      <c r="J45" s="14" t="n">
        <f aca="false">'Model inputs'!I45-'Model inputs'!B37</f>
        <v>6252.8</v>
      </c>
      <c r="K45" s="14" t="n">
        <f aca="false">'Model inputs'!J45-'Model inputs'!B37</f>
        <v>6711.6</v>
      </c>
      <c r="L45" s="14" t="n">
        <f aca="false">'Model inputs'!K45-'Model inputs'!B37</f>
        <v>7170.4</v>
      </c>
      <c r="M45" s="14" t="n">
        <f aca="false">'Model inputs'!L45-'Model inputs'!B37</f>
        <v>7629.2</v>
      </c>
      <c r="N45" s="14" t="n">
        <f aca="false">'Model inputs'!M45-'Model inputs'!B37</f>
        <v>8088</v>
      </c>
      <c r="O45" s="14" t="n">
        <f aca="false">'Model inputs'!N45-'Model inputs'!B37</f>
        <v>8546.8</v>
      </c>
      <c r="P45" s="14" t="n">
        <f aca="false">'Model inputs'!O45-'Model inputs'!B37</f>
        <v>9005.6</v>
      </c>
    </row>
    <row r="46" customFormat="false" ht="18" hidden="false" customHeight="false" outlineLevel="0" collapsed="false">
      <c r="A46" s="19" t="s">
        <v>254</v>
      </c>
      <c r="D46" s="14" t="n">
        <f aca="false">'Model inputs'!X187-'Model inputs'!B39</f>
        <v>69606</v>
      </c>
      <c r="E46" s="14" t="n">
        <f aca="false">'Model inputs'!B129-'Model inputs'!B147-'Model inputs'!B39</f>
        <v>11234</v>
      </c>
      <c r="F46" s="14" t="n">
        <f aca="false">'Model inputs'!E46-'Model inputs'!B39</f>
        <v>18968</v>
      </c>
      <c r="G46" s="14" t="n">
        <f aca="false">'Model inputs'!F46-'Model inputs'!B39</f>
        <v>26702</v>
      </c>
      <c r="H46" s="14" t="n">
        <f aca="false">'Model inputs'!G46-'Model inputs'!B39</f>
        <v>34436</v>
      </c>
      <c r="I46" s="14" t="n">
        <f aca="false">'Model inputs'!H46-'Model inputs'!B39</f>
        <v>42170</v>
      </c>
      <c r="J46" s="14" t="n">
        <f aca="false">'Model inputs'!I46-'Model inputs'!B39</f>
        <v>49904</v>
      </c>
      <c r="K46" s="14" t="n">
        <f aca="false">'Model inputs'!J46-'Model inputs'!B39</f>
        <v>57638</v>
      </c>
      <c r="L46" s="14" t="n">
        <f aca="false">'Model inputs'!K46-'Model inputs'!B39</f>
        <v>65372</v>
      </c>
      <c r="M46" s="14" t="n">
        <f aca="false">'Model inputs'!L46-'Model inputs'!B39</f>
        <v>73106</v>
      </c>
      <c r="N46" s="14" t="n">
        <f aca="false">'Model inputs'!M46-'Model inputs'!B39</f>
        <v>80840</v>
      </c>
      <c r="O46" s="14" t="n">
        <f aca="false">'Model inputs'!N46-'Model inputs'!B39</f>
        <v>88574</v>
      </c>
      <c r="P46" s="14" t="n">
        <f aca="false">'Model inputs'!O46-'Model inputs'!B39</f>
        <v>96308</v>
      </c>
    </row>
    <row r="47" customFormat="false" ht="18" hidden="false" customHeight="false" outlineLevel="0" collapsed="false">
      <c r="A47" s="19" t="s">
        <v>255</v>
      </c>
      <c r="B47" s="10" t="n">
        <f aca="false">'PM Hypothetical assumptions'!B40</f>
        <v>65</v>
      </c>
    </row>
    <row r="48" customFormat="false" ht="18" hidden="false" customHeight="false" outlineLevel="0" collapsed="false">
      <c r="A48" s="19" t="s">
        <v>256</v>
      </c>
      <c r="B48" s="10" t="n">
        <f aca="false">'PM Hypothetical assumptions'!B40</f>
        <v>65</v>
      </c>
    </row>
    <row r="49" customFormat="false" ht="18" hidden="false" customHeight="false" outlineLevel="0" collapsed="false">
      <c r="A49" s="19" t="s">
        <v>257</v>
      </c>
      <c r="B49" s="10" t="n">
        <f aca="false">'PM Hypothetical assumptions'!B40</f>
        <v>65</v>
      </c>
    </row>
    <row r="50" customFormat="false" ht="18" hidden="false" customHeight="false" outlineLevel="0" collapsed="false">
      <c r="A50" s="19" t="s">
        <v>258</v>
      </c>
      <c r="B50" s="10" t="n">
        <f aca="false">'PM Hypothetical assumptions'!B30</f>
        <v>60</v>
      </c>
    </row>
    <row r="51" customFormat="false" ht="18" hidden="false" customHeight="false" outlineLevel="0" collapsed="false">
      <c r="A51" s="19" t="s">
        <v>259</v>
      </c>
      <c r="B51" s="10" t="n">
        <f aca="false">'PM Hypothetical assumptions'!B30</f>
        <v>60</v>
      </c>
    </row>
    <row r="52" customFormat="false" ht="18" hidden="false" customHeight="false" outlineLevel="0" collapsed="false">
      <c r="A52" s="19" t="s">
        <v>260</v>
      </c>
      <c r="B52" s="10" t="n">
        <f aca="false">'PM Hypothetical assumptions'!B30</f>
        <v>60</v>
      </c>
    </row>
    <row r="53" customFormat="false" ht="18" hidden="false" customHeight="false" outlineLevel="0" collapsed="false">
      <c r="A53" s="19" t="s">
        <v>261</v>
      </c>
      <c r="B53" s="10" t="n">
        <f aca="false">'PM Hypothetical assumptions'!B26</f>
        <v>3</v>
      </c>
    </row>
    <row r="54" customFormat="false" ht="18" hidden="false" customHeight="false" outlineLevel="0" collapsed="false">
      <c r="A54" s="19" t="s">
        <v>262</v>
      </c>
      <c r="B54" s="10" t="n">
        <f aca="false">'PM Hypothetical assumptions'!B26</f>
        <v>3</v>
      </c>
    </row>
    <row r="55" customFormat="false" ht="18" hidden="false" customHeight="false" outlineLevel="0" collapsed="false">
      <c r="A55" s="19" t="s">
        <v>263</v>
      </c>
      <c r="B55" s="10" t="n">
        <f aca="false">'PM Hypothetical assumptions'!B26</f>
        <v>3</v>
      </c>
    </row>
    <row r="56" customFormat="false" ht="18" hidden="false" customHeight="false" outlineLevel="0" collapsed="false">
      <c r="A56" s="19" t="s">
        <v>264</v>
      </c>
      <c r="B56" s="11" t="n">
        <f aca="false">'PM Hypothetical assumptions'!B22</f>
        <v>0.6</v>
      </c>
    </row>
    <row r="57" customFormat="false" ht="18" hidden="false" customHeight="false" outlineLevel="0" collapsed="false">
      <c r="A57" s="19" t="s">
        <v>265</v>
      </c>
      <c r="B57" s="11" t="n">
        <f aca="false">'PM Hypothetical assumptions'!B22</f>
        <v>0.6</v>
      </c>
    </row>
    <row r="58" customFormat="false" ht="18" hidden="false" customHeight="false" outlineLevel="0" collapsed="false">
      <c r="A58" s="19" t="s">
        <v>266</v>
      </c>
      <c r="B58" s="11" t="n">
        <f aca="false">'PM Hypothetical assumptions'!B22</f>
        <v>0.6</v>
      </c>
    </row>
    <row r="59" customFormat="false" ht="18" hidden="false" customHeight="false" outlineLevel="0" collapsed="false">
      <c r="A59" s="19" t="s">
        <v>267</v>
      </c>
      <c r="B59" s="10" t="n">
        <f aca="false">'PM Hypothetical assumptions'!B7</f>
        <v>19</v>
      </c>
    </row>
    <row r="60" customFormat="false" ht="18" hidden="false" customHeight="false" outlineLevel="0" collapsed="false">
      <c r="A60" s="19" t="s">
        <v>268</v>
      </c>
      <c r="B60" s="10" t="n">
        <f aca="false">'PM Hypothetical assumptions'!B7</f>
        <v>19</v>
      </c>
    </row>
    <row r="61" customFormat="false" ht="18" hidden="false" customHeight="false" outlineLevel="0" collapsed="false">
      <c r="A61" s="19" t="s">
        <v>269</v>
      </c>
      <c r="B61" s="10" t="n">
        <f aca="false">'PM Hypothetical assumptions'!B7</f>
        <v>19</v>
      </c>
    </row>
    <row r="62" customFormat="false" ht="18" hidden="false" customHeight="false" outlineLevel="0" collapsed="false">
      <c r="A62" s="19" t="s">
        <v>270</v>
      </c>
      <c r="B62" s="11" t="n">
        <f aca="false">'PM Hypothetical assumptions'!B9</f>
        <v>20</v>
      </c>
    </row>
    <row r="63" customFormat="false" ht="18" hidden="false" customHeight="false" outlineLevel="0" collapsed="false">
      <c r="A63" s="19" t="s">
        <v>271</v>
      </c>
      <c r="B63" s="11" t="n">
        <f aca="false">'PM Hypothetical assumptions'!B9</f>
        <v>20</v>
      </c>
    </row>
    <row r="64" customFormat="false" ht="18" hidden="false" customHeight="false" outlineLevel="0" collapsed="false">
      <c r="A64" s="19" t="s">
        <v>272</v>
      </c>
      <c r="B64" s="11" t="n">
        <f aca="false">'PM Hypothetical assumptions'!B9</f>
        <v>20</v>
      </c>
    </row>
    <row r="65" customFormat="false" ht="18" hidden="false" customHeight="false" outlineLevel="0" collapsed="false">
      <c r="A65" s="19" t="s">
        <v>273</v>
      </c>
      <c r="B65" s="10" t="n">
        <f aca="false">'PM Hypothetical assumptions'!B33</f>
        <v>30</v>
      </c>
    </row>
    <row r="66" customFormat="false" ht="18" hidden="false" customHeight="false" outlineLevel="0" collapsed="false">
      <c r="A66" s="19" t="s">
        <v>274</v>
      </c>
      <c r="B66" s="10" t="n">
        <f aca="false">'PM Hypothetical assumptions'!B33</f>
        <v>30</v>
      </c>
    </row>
    <row r="67" customFormat="false" ht="18" hidden="false" customHeight="false" outlineLevel="0" collapsed="false">
      <c r="A67" s="19" t="s">
        <v>275</v>
      </c>
      <c r="B67" s="10" t="n">
        <f aca="false">'PM Hypothetical assumptions'!B33</f>
        <v>30</v>
      </c>
    </row>
    <row r="68" customFormat="false" ht="18" hidden="false" customHeight="false" outlineLevel="0" collapsed="false">
      <c r="A68" s="19" t="s">
        <v>276</v>
      </c>
      <c r="B68" s="11" t="n">
        <f aca="false">'PM Hypothetical assumptions'!B27</f>
        <v>25</v>
      </c>
    </row>
    <row r="69" customFormat="false" ht="18" hidden="false" customHeight="false" outlineLevel="0" collapsed="false">
      <c r="A69" s="19" t="s">
        <v>277</v>
      </c>
      <c r="B69" s="11" t="n">
        <f aca="false">'PM Hypothetical assumptions'!B27</f>
        <v>25</v>
      </c>
    </row>
    <row r="70" customFormat="false" ht="18" hidden="false" customHeight="false" outlineLevel="0" collapsed="false">
      <c r="A70" s="19" t="s">
        <v>278</v>
      </c>
      <c r="B70" s="11" t="n">
        <f aca="false">'PM Hypothetical assumptions'!B27</f>
        <v>25</v>
      </c>
    </row>
    <row r="71" customFormat="false" ht="18" hidden="false" customHeight="false" outlineLevel="0" collapsed="false">
      <c r="A71" s="19" t="s">
        <v>279</v>
      </c>
      <c r="B71" s="10" t="n">
        <f aca="false">'PM Hypothetical assumptions'!B35</f>
        <v>600</v>
      </c>
    </row>
    <row r="72" customFormat="false" ht="18" hidden="false" customHeight="false" outlineLevel="0" collapsed="false">
      <c r="A72" s="19" t="s">
        <v>280</v>
      </c>
      <c r="B72" s="10" t="n">
        <f aca="false">'PM Hypothetical assumptions'!B35</f>
        <v>600</v>
      </c>
    </row>
    <row r="73" customFormat="false" ht="18" hidden="false" customHeight="false" outlineLevel="0" collapsed="false">
      <c r="A73" s="19" t="s">
        <v>281</v>
      </c>
      <c r="B73" s="10" t="n">
        <f aca="false">'PM Hypothetical assumptions'!B35</f>
        <v>600</v>
      </c>
    </row>
    <row r="74" customFormat="false" ht="18" hidden="false" customHeight="false" outlineLevel="0" collapsed="false">
      <c r="A74" s="19" t="s">
        <v>282</v>
      </c>
      <c r="B74" s="10" t="n">
        <f aca="false">'PM Hypothetical assumptions'!B37</f>
        <v>150</v>
      </c>
    </row>
    <row r="75" customFormat="false" ht="18" hidden="false" customHeight="false" outlineLevel="0" collapsed="false">
      <c r="A75" s="19" t="s">
        <v>283</v>
      </c>
      <c r="B75" s="10" t="n">
        <f aca="false">'PM Hypothetical assumptions'!B37</f>
        <v>150</v>
      </c>
    </row>
    <row r="76" customFormat="false" ht="18" hidden="false" customHeight="false" outlineLevel="0" collapsed="false">
      <c r="A76" s="19" t="s">
        <v>284</v>
      </c>
      <c r="B76" s="10" t="n">
        <f aca="false">'PM Hypothetical assumptions'!B37</f>
        <v>150</v>
      </c>
    </row>
    <row r="77" customFormat="false" ht="18" hidden="false" customHeight="false" outlineLevel="0" collapsed="false">
      <c r="A77" s="19" t="s">
        <v>285</v>
      </c>
      <c r="B77" s="10" t="n">
        <f aca="false">'PM Hypothetical assumptions'!B23</f>
        <v>0.25</v>
      </c>
    </row>
    <row r="78" customFormat="false" ht="18" hidden="false" customHeight="false" outlineLevel="0" collapsed="false">
      <c r="A78" s="19" t="s">
        <v>286</v>
      </c>
      <c r="B78" s="10" t="n">
        <f aca="false">'PM Hypothetical assumptions'!B23</f>
        <v>0.25</v>
      </c>
    </row>
    <row r="79" customFormat="false" ht="18" hidden="false" customHeight="false" outlineLevel="0" collapsed="false">
      <c r="A79" s="19" t="s">
        <v>287</v>
      </c>
      <c r="B79" s="10" t="n">
        <f aca="false">'PM Hypothetical assumptions'!B23</f>
        <v>0.25</v>
      </c>
    </row>
    <row r="80" customFormat="false" ht="18" hidden="false" customHeight="false" outlineLevel="0" collapsed="false">
      <c r="A80" s="19" t="s">
        <v>288</v>
      </c>
      <c r="B80" s="11" t="n">
        <f aca="false">'PM Hypothetical assumptions'!B19</f>
        <v>0.1</v>
      </c>
    </row>
    <row r="81" customFormat="false" ht="18" hidden="false" customHeight="false" outlineLevel="0" collapsed="false">
      <c r="A81" s="19" t="s">
        <v>289</v>
      </c>
      <c r="B81" s="11" t="n">
        <f aca="false">'PM Hypothetical assumptions'!B19</f>
        <v>0.1</v>
      </c>
    </row>
    <row r="82" customFormat="false" ht="18" hidden="false" customHeight="false" outlineLevel="0" collapsed="false">
      <c r="A82" s="19" t="s">
        <v>290</v>
      </c>
      <c r="B82" s="11" t="n">
        <f aca="false">'PM Hypothetical assumptions'!B19</f>
        <v>0.1</v>
      </c>
    </row>
    <row r="83" customFormat="false" ht="18" hidden="false" customHeight="false" outlineLevel="0" collapsed="false">
      <c r="A83" s="19" t="s">
        <v>291</v>
      </c>
      <c r="B83" s="10" t="n">
        <f aca="false">'PM Hypothetical assumptions'!B31</f>
        <v>75</v>
      </c>
    </row>
    <row r="84" customFormat="false" ht="18" hidden="false" customHeight="false" outlineLevel="0" collapsed="false">
      <c r="A84" s="19" t="s">
        <v>292</v>
      </c>
      <c r="B84" s="10" t="n">
        <f aca="false">'PM Hypothetical assumptions'!B31</f>
        <v>75</v>
      </c>
    </row>
    <row r="85" customFormat="false" ht="18" hidden="false" customHeight="false" outlineLevel="0" collapsed="false">
      <c r="A85" s="19" t="s">
        <v>293</v>
      </c>
      <c r="B85" s="10" t="n">
        <f aca="false">'PM Hypothetical assumptions'!B31</f>
        <v>75</v>
      </c>
    </row>
    <row r="86" customFormat="false" ht="18" hidden="false" customHeight="false" outlineLevel="0" collapsed="false">
      <c r="A86" s="19" t="s">
        <v>294</v>
      </c>
      <c r="B86" s="10" t="n">
        <f aca="false">MAX(0,'Model inputs'!B155-'Model inputs'!B95)*'Model inputs'!B171</f>
        <v>0</v>
      </c>
    </row>
    <row r="87" customFormat="false" ht="18" hidden="false" customHeight="false" outlineLevel="0" collapsed="false">
      <c r="A87" s="19" t="s">
        <v>295</v>
      </c>
      <c r="B87" s="10" t="n">
        <f aca="false">MAX(0,'Model inputs'!B156-'Model inputs'!B96)*'Model inputs'!B188</f>
        <v>341.7</v>
      </c>
    </row>
    <row r="88" customFormat="false" ht="18" hidden="false" customHeight="false" outlineLevel="0" collapsed="false">
      <c r="A88" s="19" t="s">
        <v>296</v>
      </c>
      <c r="B88" s="10" t="n">
        <f aca="false">MAX(0,'Model inputs'!B157-'Model inputs'!B97)*'Model inputs'!B189</f>
        <v>2448.5</v>
      </c>
    </row>
    <row r="89" customFormat="false" ht="18" hidden="false" customHeight="false" outlineLevel="0" collapsed="false">
      <c r="A89" s="19" t="s">
        <v>297</v>
      </c>
      <c r="B89" s="10" t="n">
        <f aca="false">'Model inputs'!B152-'Model inputs'!B155</f>
        <v>925</v>
      </c>
    </row>
    <row r="90" customFormat="false" ht="18" hidden="false" customHeight="false" outlineLevel="0" collapsed="false">
      <c r="A90" s="19" t="s">
        <v>298</v>
      </c>
      <c r="C90" s="10" t="n">
        <f aca="false">'Model inputs'!B152-'Model inputs'!B155</f>
        <v>925</v>
      </c>
    </row>
    <row r="91" customFormat="false" ht="18" hidden="false" customHeight="false" outlineLevel="0" collapsed="false">
      <c r="A91" s="19" t="s">
        <v>299</v>
      </c>
      <c r="B91" s="10" t="n">
        <f aca="false">'Model inputs'!B153-'Model inputs'!B156</f>
        <v>-1366.8</v>
      </c>
    </row>
    <row r="92" customFormat="false" ht="18" hidden="false" customHeight="false" outlineLevel="0" collapsed="false">
      <c r="A92" s="19" t="s">
        <v>300</v>
      </c>
      <c r="C92" s="10" t="n">
        <f aca="false">'Model inputs'!B153-'Model inputs'!B156</f>
        <v>-1366.8</v>
      </c>
    </row>
    <row r="93" customFormat="false" ht="18" hidden="false" customHeight="false" outlineLevel="0" collapsed="false">
      <c r="A93" s="19" t="s">
        <v>301</v>
      </c>
      <c r="B93" s="10" t="n">
        <f aca="false">'Model inputs'!B154-'Model inputs'!B157</f>
        <v>-9794</v>
      </c>
    </row>
    <row r="94" customFormat="false" ht="18" hidden="false" customHeight="false" outlineLevel="0" collapsed="false">
      <c r="A94" s="19" t="s">
        <v>302</v>
      </c>
      <c r="C94" s="10" t="n">
        <f aca="false">'Model inputs'!B154-'Model inputs'!B157</f>
        <v>-9794</v>
      </c>
    </row>
    <row r="95" customFormat="false" ht="18" hidden="false" customHeight="false" outlineLevel="0" collapsed="false">
      <c r="A95" s="19" t="s">
        <v>303</v>
      </c>
      <c r="B95" s="10" t="n">
        <f aca="false">'Model inputs'!B172+'Model inputs'!B174+'Model inputs'!B173</f>
        <v>925</v>
      </c>
    </row>
    <row r="96" customFormat="false" ht="18" hidden="false" customHeight="false" outlineLevel="0" collapsed="false">
      <c r="A96" s="19" t="s">
        <v>304</v>
      </c>
      <c r="B96" s="10" t="n">
        <f aca="false">'Model inputs'!B243+'Model inputs'!B247+'Model inputs'!B245</f>
        <v>1791.5</v>
      </c>
    </row>
    <row r="97" customFormat="false" ht="18" hidden="false" customHeight="false" outlineLevel="0" collapsed="false">
      <c r="A97" s="19" t="s">
        <v>305</v>
      </c>
      <c r="B97" s="10" t="n">
        <f aca="false">'Model inputs'!B244+'Model inputs'!B248+'Model inputs'!B246</f>
        <v>5257.5</v>
      </c>
    </row>
    <row r="98" customFormat="false" ht="18" hidden="false" customHeight="false" outlineLevel="0" collapsed="false">
      <c r="A98" s="19" t="s">
        <v>306</v>
      </c>
      <c r="D98" s="14" t="n">
        <f aca="false">'Model inputs'!X190-'Model inputs'!B89</f>
        <v>-8325</v>
      </c>
      <c r="E98" s="14" t="n">
        <f aca="false">'Model inputs'!B125-'Model inputs'!B143-'Model inputs'!B89</f>
        <v>2575</v>
      </c>
      <c r="F98" s="14" t="n">
        <f aca="false">'Model inputs'!E98-'Model inputs'!B89</f>
        <v>1650</v>
      </c>
      <c r="G98" s="14" t="n">
        <f aca="false">'Model inputs'!F98-'Model inputs'!B89</f>
        <v>725</v>
      </c>
      <c r="H98" s="14" t="n">
        <f aca="false">'Model inputs'!G98-'Model inputs'!B89</f>
        <v>-200</v>
      </c>
      <c r="I98" s="14" t="n">
        <f aca="false">'Model inputs'!H98-'Model inputs'!B89</f>
        <v>-1125</v>
      </c>
      <c r="J98" s="14" t="n">
        <f aca="false">'Model inputs'!I98-'Model inputs'!B89</f>
        <v>-2050</v>
      </c>
      <c r="K98" s="14" t="n">
        <f aca="false">'Model inputs'!J98-'Model inputs'!B89</f>
        <v>-2975</v>
      </c>
      <c r="L98" s="14" t="n">
        <f aca="false">'Model inputs'!K98-'Model inputs'!B89</f>
        <v>-3900</v>
      </c>
      <c r="M98" s="14" t="n">
        <f aca="false">'Model inputs'!L98-'Model inputs'!B89</f>
        <v>-4825</v>
      </c>
      <c r="N98" s="14" t="n">
        <f aca="false">'Model inputs'!M98-'Model inputs'!B89</f>
        <v>-5750</v>
      </c>
      <c r="O98" s="14" t="n">
        <f aca="false">'Model inputs'!N98-'Model inputs'!B89</f>
        <v>-6675</v>
      </c>
      <c r="P98" s="14" t="n">
        <f aca="false">'Model inputs'!O98-'Model inputs'!B89</f>
        <v>-7600</v>
      </c>
    </row>
    <row r="99" customFormat="false" ht="18" hidden="false" customHeight="false" outlineLevel="0" collapsed="false">
      <c r="A99" s="19" t="s">
        <v>307</v>
      </c>
      <c r="D99" s="14" t="n">
        <f aca="false">'Model inputs'!X191-'Model inputs'!B91</f>
        <v>12301.2</v>
      </c>
      <c r="E99" s="14" t="n">
        <f aca="false">'Model inputs'!B127-'Model inputs'!B145-'Model inputs'!B91</f>
        <v>4866.8</v>
      </c>
      <c r="F99" s="14" t="n">
        <f aca="false">'Model inputs'!E99-'Model inputs'!B91</f>
        <v>6233.6</v>
      </c>
      <c r="G99" s="14" t="n">
        <f aca="false">'Model inputs'!F99-'Model inputs'!B91</f>
        <v>7600.4</v>
      </c>
      <c r="H99" s="14" t="n">
        <f aca="false">'Model inputs'!G99-'Model inputs'!B91</f>
        <v>8967.2</v>
      </c>
      <c r="I99" s="14" t="n">
        <f aca="false">'Model inputs'!H99-'Model inputs'!B91</f>
        <v>10334</v>
      </c>
      <c r="J99" s="14" t="n">
        <f aca="false">'Model inputs'!I99-'Model inputs'!B91</f>
        <v>11700.8</v>
      </c>
      <c r="K99" s="14" t="n">
        <f aca="false">'Model inputs'!J99-'Model inputs'!B91</f>
        <v>13067.6</v>
      </c>
      <c r="L99" s="14" t="n">
        <f aca="false">'Model inputs'!K99-'Model inputs'!B91</f>
        <v>14434.4</v>
      </c>
      <c r="M99" s="14" t="n">
        <f aca="false">'Model inputs'!L99-'Model inputs'!B91</f>
        <v>15801.2</v>
      </c>
      <c r="N99" s="14" t="n">
        <f aca="false">'Model inputs'!M99-'Model inputs'!B91</f>
        <v>17168</v>
      </c>
      <c r="O99" s="14" t="n">
        <f aca="false">'Model inputs'!N99-'Model inputs'!B91</f>
        <v>18534.8</v>
      </c>
      <c r="P99" s="14" t="n">
        <f aca="false">'Model inputs'!O99-'Model inputs'!B91</f>
        <v>19901.6</v>
      </c>
    </row>
    <row r="100" customFormat="false" ht="18" hidden="false" customHeight="false" outlineLevel="0" collapsed="false">
      <c r="A100" s="19" t="s">
        <v>308</v>
      </c>
      <c r="D100" s="14" t="n">
        <f aca="false">'Model inputs'!X192-'Model inputs'!B93</f>
        <v>88146</v>
      </c>
      <c r="E100" s="14" t="n">
        <f aca="false">'Model inputs'!B129-'Model inputs'!B147-'Model inputs'!B93</f>
        <v>13294</v>
      </c>
      <c r="F100" s="14" t="n">
        <f aca="false">'Model inputs'!E100-'Model inputs'!B93</f>
        <v>23088</v>
      </c>
      <c r="G100" s="14" t="n">
        <f aca="false">'Model inputs'!F100-'Model inputs'!B93</f>
        <v>32882</v>
      </c>
      <c r="H100" s="14" t="n">
        <f aca="false">'Model inputs'!G100-'Model inputs'!B93</f>
        <v>42676</v>
      </c>
      <c r="I100" s="14" t="n">
        <f aca="false">'Model inputs'!H100-'Model inputs'!B93</f>
        <v>52470</v>
      </c>
      <c r="J100" s="14" t="n">
        <f aca="false">'Model inputs'!I100-'Model inputs'!B93</f>
        <v>62264</v>
      </c>
      <c r="K100" s="14" t="n">
        <f aca="false">'Model inputs'!J100-'Model inputs'!B93</f>
        <v>72058</v>
      </c>
      <c r="L100" s="14" t="n">
        <f aca="false">'Model inputs'!K100-'Model inputs'!B93</f>
        <v>81852</v>
      </c>
      <c r="M100" s="14" t="n">
        <f aca="false">'Model inputs'!L100-'Model inputs'!B93</f>
        <v>91646</v>
      </c>
      <c r="N100" s="14" t="n">
        <f aca="false">'Model inputs'!M100-'Model inputs'!B93</f>
        <v>101440</v>
      </c>
      <c r="O100" s="14" t="n">
        <f aca="false">'Model inputs'!N100-'Model inputs'!B93</f>
        <v>111234</v>
      </c>
      <c r="P100" s="14" t="n">
        <f aca="false">'Model inputs'!O100-'Model inputs'!B93</f>
        <v>121028</v>
      </c>
    </row>
    <row r="101" customFormat="false" ht="18" hidden="false" customHeight="false" outlineLevel="0" collapsed="false">
      <c r="A101" s="19" t="s">
        <v>309</v>
      </c>
      <c r="B101" s="10" t="n">
        <f aca="false">'PM Hypothetical assumptions'!B39</f>
        <v>40</v>
      </c>
    </row>
    <row r="102" customFormat="false" ht="18" hidden="false" customHeight="false" outlineLevel="0" collapsed="false">
      <c r="A102" s="19" t="s">
        <v>310</v>
      </c>
      <c r="B102" s="10" t="n">
        <f aca="false">'PM Hypothetical assumptions'!B39</f>
        <v>40</v>
      </c>
    </row>
    <row r="103" customFormat="false" ht="18" hidden="false" customHeight="false" outlineLevel="0" collapsed="false">
      <c r="A103" s="19" t="s">
        <v>311</v>
      </c>
      <c r="B103" s="10" t="n">
        <f aca="false">'PM Hypothetical assumptions'!B39</f>
        <v>40</v>
      </c>
    </row>
    <row r="104" customFormat="false" ht="18" hidden="false" customHeight="false" outlineLevel="0" collapsed="false">
      <c r="A104" s="19" t="s">
        <v>312</v>
      </c>
      <c r="B104" s="10" t="n">
        <f aca="false">'PM Hypothetical assumptions'!B29</f>
        <v>45</v>
      </c>
    </row>
    <row r="105" customFormat="false" ht="18" hidden="false" customHeight="false" outlineLevel="0" collapsed="false">
      <c r="A105" s="19" t="s">
        <v>313</v>
      </c>
      <c r="B105" s="10" t="n">
        <f aca="false">'PM Hypothetical assumptions'!B29</f>
        <v>45</v>
      </c>
    </row>
    <row r="106" customFormat="false" ht="18" hidden="false" customHeight="false" outlineLevel="0" collapsed="false">
      <c r="A106" s="19" t="s">
        <v>314</v>
      </c>
      <c r="B106" s="10" t="n">
        <f aca="false">'PM Hypothetical assumptions'!B29</f>
        <v>45</v>
      </c>
    </row>
    <row r="107" customFormat="false" ht="18" hidden="false" customHeight="false" outlineLevel="0" collapsed="false">
      <c r="A107" s="19" t="s">
        <v>315</v>
      </c>
      <c r="B107" s="10" t="n">
        <f aca="false">'PM Hypothetical assumptions'!B24</f>
        <v>0.75</v>
      </c>
    </row>
    <row r="108" customFormat="false" ht="18" hidden="false" customHeight="false" outlineLevel="0" collapsed="false">
      <c r="A108" s="19" t="s">
        <v>316</v>
      </c>
      <c r="B108" s="10" t="n">
        <f aca="false">'PM Hypothetical assumptions'!B24</f>
        <v>0.75</v>
      </c>
    </row>
    <row r="109" customFormat="false" ht="18" hidden="false" customHeight="false" outlineLevel="0" collapsed="false">
      <c r="A109" s="19" t="s">
        <v>317</v>
      </c>
      <c r="B109" s="10" t="n">
        <f aca="false">'PM Hypothetical assumptions'!B24</f>
        <v>0.75</v>
      </c>
    </row>
    <row r="110" customFormat="false" ht="18" hidden="false" customHeight="false" outlineLevel="0" collapsed="false">
      <c r="A110" s="19" t="s">
        <v>318</v>
      </c>
      <c r="B110" s="11" t="n">
        <f aca="false">'PM Hypothetical assumptions'!B20</f>
        <v>0.4</v>
      </c>
    </row>
    <row r="111" customFormat="false" ht="18" hidden="false" customHeight="false" outlineLevel="0" collapsed="false">
      <c r="A111" s="19" t="s">
        <v>319</v>
      </c>
      <c r="B111" s="11" t="n">
        <f aca="false">'PM Hypothetical assumptions'!B20</f>
        <v>0.4</v>
      </c>
    </row>
    <row r="112" customFormat="false" ht="18" hidden="false" customHeight="false" outlineLevel="0" collapsed="false">
      <c r="A112" s="19" t="s">
        <v>320</v>
      </c>
      <c r="B112" s="11" t="n">
        <f aca="false">'PM Hypothetical assumptions'!B20</f>
        <v>0.4</v>
      </c>
    </row>
    <row r="113" customFormat="false" ht="18" hidden="false" customHeight="false" outlineLevel="0" collapsed="false">
      <c r="A113" s="19" t="s">
        <v>321</v>
      </c>
      <c r="B113" s="9" t="n">
        <f aca="false">'PM Hypothetical assumptions'!B15</f>
        <v>0.03</v>
      </c>
    </row>
    <row r="114" customFormat="false" ht="18" hidden="false" customHeight="false" outlineLevel="0" collapsed="false">
      <c r="A114" s="19" t="s">
        <v>322</v>
      </c>
      <c r="B114" s="9" t="n">
        <f aca="false">'PM Hypothetical assumptions'!B15</f>
        <v>0.03</v>
      </c>
    </row>
    <row r="115" customFormat="false" ht="18" hidden="false" customHeight="false" outlineLevel="0" collapsed="false">
      <c r="A115" s="19" t="s">
        <v>323</v>
      </c>
      <c r="B115" s="9" t="n">
        <f aca="false">'PM Hypothetical assumptions'!B15</f>
        <v>0.03</v>
      </c>
    </row>
    <row r="116" customFormat="false" ht="18" hidden="false" customHeight="false" outlineLevel="0" collapsed="false">
      <c r="A116" s="19" t="s">
        <v>324</v>
      </c>
      <c r="B116" s="11" t="n">
        <f aca="false">'PM Hypothetical assumptions'!B17</f>
        <v>0.3</v>
      </c>
    </row>
    <row r="117" customFormat="false" ht="18" hidden="false" customHeight="false" outlineLevel="0" collapsed="false">
      <c r="A117" s="19" t="s">
        <v>325</v>
      </c>
      <c r="B117" s="11" t="n">
        <f aca="false">'PM Hypothetical assumptions'!B17</f>
        <v>0.3</v>
      </c>
    </row>
    <row r="118" customFormat="false" ht="18" hidden="false" customHeight="false" outlineLevel="0" collapsed="false">
      <c r="A118" s="19" t="s">
        <v>326</v>
      </c>
      <c r="B118" s="11" t="n">
        <f aca="false">'PM Hypothetical assumptions'!B17</f>
        <v>0.3</v>
      </c>
    </row>
    <row r="119" customFormat="false" ht="18" hidden="false" customHeight="false" outlineLevel="0" collapsed="false">
      <c r="A119" s="19" t="s">
        <v>327</v>
      </c>
      <c r="B119" s="9" t="n">
        <f aca="false">'PM Hypothetical assumptions'!B16</f>
        <v>0.029</v>
      </c>
    </row>
    <row r="120" customFormat="false" ht="18" hidden="false" customHeight="false" outlineLevel="0" collapsed="false">
      <c r="A120" s="19" t="s">
        <v>328</v>
      </c>
      <c r="B120" s="9" t="n">
        <f aca="false">'PM Hypothetical assumptions'!B16</f>
        <v>0.029</v>
      </c>
    </row>
    <row r="121" customFormat="false" ht="18" hidden="false" customHeight="false" outlineLevel="0" collapsed="false">
      <c r="A121" s="19" t="s">
        <v>329</v>
      </c>
      <c r="B121" s="9" t="n">
        <f aca="false">'PM Hypothetical assumptions'!B16</f>
        <v>0.029</v>
      </c>
    </row>
    <row r="122" customFormat="false" ht="18" hidden="false" customHeight="false" outlineLevel="0" collapsed="false">
      <c r="A122" s="19" t="s">
        <v>330</v>
      </c>
      <c r="B122" s="10" t="n">
        <f aca="false">'PM Hypothetical assumptions'!B12</f>
        <v>0.05</v>
      </c>
    </row>
    <row r="123" customFormat="false" ht="18" hidden="false" customHeight="false" outlineLevel="0" collapsed="false">
      <c r="A123" s="19" t="s">
        <v>331</v>
      </c>
      <c r="B123" s="10" t="n">
        <f aca="false">0.05</f>
        <v>0.05</v>
      </c>
    </row>
    <row r="124" customFormat="false" ht="18" hidden="false" customHeight="false" outlineLevel="0" collapsed="false">
      <c r="A124" s="19" t="s">
        <v>332</v>
      </c>
      <c r="B124" s="10" t="n">
        <f aca="false">'PM Hypothetical assumptions'!B12</f>
        <v>0.05</v>
      </c>
    </row>
    <row r="125" customFormat="false" ht="18" hidden="false" customHeight="false" outlineLevel="0" collapsed="false">
      <c r="A125" s="19" t="s">
        <v>333</v>
      </c>
      <c r="B125" s="10" t="n">
        <f aca="false">'PM Hypothetical assumptions'!B13</f>
        <v>5000</v>
      </c>
    </row>
    <row r="126" customFormat="false" ht="18" hidden="false" customHeight="false" outlineLevel="0" collapsed="false">
      <c r="A126" s="19" t="s">
        <v>334</v>
      </c>
      <c r="C126" s="10" t="n">
        <f aca="false">'PM Hypothetical assumptions'!B13</f>
        <v>5000</v>
      </c>
    </row>
    <row r="127" customFormat="false" ht="18" hidden="false" customHeight="false" outlineLevel="0" collapsed="false">
      <c r="A127" s="19" t="s">
        <v>335</v>
      </c>
      <c r="B127" s="10" t="n">
        <f aca="false">'PM Hypothetical assumptions'!B13</f>
        <v>5000</v>
      </c>
    </row>
    <row r="128" customFormat="false" ht="18" hidden="false" customHeight="false" outlineLevel="0" collapsed="false">
      <c r="A128" s="19" t="s">
        <v>336</v>
      </c>
      <c r="C128" s="10" t="n">
        <f aca="false">'PM Hypothetical assumptions'!B13</f>
        <v>5000</v>
      </c>
    </row>
    <row r="129" customFormat="false" ht="18" hidden="false" customHeight="false" outlineLevel="0" collapsed="false">
      <c r="A129" s="19" t="s">
        <v>337</v>
      </c>
      <c r="B129" s="10" t="n">
        <f aca="false">'PM Hypothetical assumptions'!B13</f>
        <v>5000</v>
      </c>
    </row>
    <row r="130" customFormat="false" ht="18" hidden="false" customHeight="false" outlineLevel="0" collapsed="false">
      <c r="A130" s="19" t="s">
        <v>338</v>
      </c>
      <c r="C130" s="10" t="n">
        <f aca="false">'PM Hypothetical assumptions'!B13</f>
        <v>5000</v>
      </c>
    </row>
    <row r="131" customFormat="false" ht="18" hidden="false" customHeight="false" outlineLevel="0" collapsed="false">
      <c r="A131" s="19" t="s">
        <v>339</v>
      </c>
      <c r="B131" s="10" t="n">
        <f aca="false">'PM Hypothetical assumptions'!B18</f>
        <v>25</v>
      </c>
    </row>
    <row r="132" customFormat="false" ht="18" hidden="false" customHeight="false" outlineLevel="0" collapsed="false">
      <c r="A132" s="19" t="s">
        <v>340</v>
      </c>
      <c r="B132" s="10" t="n">
        <f aca="false">'PM Hypothetical assumptions'!B18</f>
        <v>25</v>
      </c>
    </row>
    <row r="133" customFormat="false" ht="18" hidden="false" customHeight="false" outlineLevel="0" collapsed="false">
      <c r="A133" s="19" t="s">
        <v>341</v>
      </c>
      <c r="B133" s="10" t="n">
        <f aca="false">'PM Hypothetical assumptions'!B18</f>
        <v>25</v>
      </c>
    </row>
    <row r="134" customFormat="false" ht="18" hidden="false" customHeight="false" outlineLevel="0" collapsed="false">
      <c r="A134" s="19" t="s">
        <v>342</v>
      </c>
      <c r="B134" s="10" t="n">
        <f aca="false">'PM Hypothetical assumptions'!B8</f>
        <v>99</v>
      </c>
    </row>
    <row r="135" customFormat="false" ht="18" hidden="false" customHeight="false" outlineLevel="0" collapsed="false">
      <c r="A135" s="19" t="s">
        <v>343</v>
      </c>
      <c r="B135" s="10" t="n">
        <f aca="false">'PM Hypothetical assumptions'!B8</f>
        <v>99</v>
      </c>
    </row>
    <row r="136" customFormat="false" ht="18" hidden="false" customHeight="false" outlineLevel="0" collapsed="false">
      <c r="A136" s="19" t="s">
        <v>344</v>
      </c>
      <c r="B136" s="10" t="n">
        <f aca="false">'PM Hypothetical assumptions'!B8</f>
        <v>99</v>
      </c>
    </row>
    <row r="137" customFormat="false" ht="18" hidden="false" customHeight="false" outlineLevel="0" collapsed="false">
      <c r="A137" s="19" t="s">
        <v>345</v>
      </c>
      <c r="B137" s="11" t="n">
        <f aca="false">'PM Hypothetical assumptions'!B10</f>
        <v>100</v>
      </c>
    </row>
    <row r="138" customFormat="false" ht="18" hidden="false" customHeight="false" outlineLevel="0" collapsed="false">
      <c r="A138" s="19" t="s">
        <v>346</v>
      </c>
      <c r="B138" s="11" t="n">
        <f aca="false">'PM Hypothetical assumptions'!B10</f>
        <v>100</v>
      </c>
    </row>
    <row r="139" customFormat="false" ht="18" hidden="false" customHeight="false" outlineLevel="0" collapsed="false">
      <c r="A139" s="19" t="s">
        <v>347</v>
      </c>
      <c r="B139" s="11" t="n">
        <f aca="false">'PM Hypothetical assumptions'!B10</f>
        <v>100</v>
      </c>
    </row>
    <row r="140" customFormat="false" ht="18" hidden="false" customHeight="false" outlineLevel="0" collapsed="false">
      <c r="A140" s="19" t="s">
        <v>348</v>
      </c>
      <c r="B140" s="9" t="n">
        <f aca="false">'PM Hypothetical assumptions'!B6</f>
        <v>0.2</v>
      </c>
    </row>
    <row r="141" customFormat="false" ht="18" hidden="false" customHeight="false" outlineLevel="0" collapsed="false">
      <c r="A141" s="19" t="s">
        <v>349</v>
      </c>
      <c r="B141" s="9" t="n">
        <f aca="false">'PM Hypothetical assumptions'!B6</f>
        <v>0.2</v>
      </c>
    </row>
    <row r="142" customFormat="false" ht="18" hidden="false" customHeight="false" outlineLevel="0" collapsed="false">
      <c r="A142" s="19" t="s">
        <v>350</v>
      </c>
      <c r="B142" s="9" t="n">
        <f aca="false">'PM Hypothetical assumptions'!B6</f>
        <v>0.2</v>
      </c>
    </row>
    <row r="143" customFormat="false" ht="18" hidden="false" customHeight="false" outlineLevel="0" collapsed="false">
      <c r="A143" s="19" t="s">
        <v>351</v>
      </c>
      <c r="B143" s="11" t="n">
        <f aca="false">SUM('Model inputs'!B159,'Model inputs'!B160,'Model inputs'!B161,'Model inputs'!B162,'Model inputs'!B163,'Model inputs'!B164)</f>
        <v>1500</v>
      </c>
    </row>
    <row r="144" customFormat="false" ht="18" hidden="false" customHeight="false" outlineLevel="0" collapsed="false">
      <c r="A144" s="19" t="s">
        <v>352</v>
      </c>
      <c r="C144" s="11" t="n">
        <f aca="false">SUM('Model inputs'!B159,'Model inputs'!B160,'Model inputs'!B161,'Model inputs'!B162,'Model inputs'!B163,'Model inputs'!B164)</f>
        <v>1500</v>
      </c>
    </row>
    <row r="145" customFormat="false" ht="18" hidden="false" customHeight="false" outlineLevel="0" collapsed="false">
      <c r="A145" s="19" t="s">
        <v>353</v>
      </c>
      <c r="B145" s="11" t="n">
        <f aca="false">SUM('Model inputs'!B201,'Model inputs'!B202,'Model inputs'!B203,'Model inputs'!B204,'Model inputs'!B205,'Model inputs'!B206)</f>
        <v>1500</v>
      </c>
    </row>
    <row r="146" customFormat="false" ht="18" hidden="false" customHeight="false" outlineLevel="0" collapsed="false">
      <c r="A146" s="19" t="s">
        <v>354</v>
      </c>
      <c r="C146" s="11" t="n">
        <f aca="false">SUM('Model inputs'!B201,'Model inputs'!B202,'Model inputs'!B203,'Model inputs'!B204,'Model inputs'!B205,'Model inputs'!B206)</f>
        <v>1500</v>
      </c>
    </row>
    <row r="147" customFormat="false" ht="18" hidden="false" customHeight="false" outlineLevel="0" collapsed="false">
      <c r="A147" s="19" t="s">
        <v>355</v>
      </c>
      <c r="B147" s="11" t="n">
        <f aca="false">SUM('Model inputs'!B215,'Model inputs'!B216,'Model inputs'!B217,'Model inputs'!B218,'Model inputs'!B219,'Model inputs'!B220)</f>
        <v>1500</v>
      </c>
    </row>
    <row r="148" customFormat="false" ht="18" hidden="false" customHeight="false" outlineLevel="0" collapsed="false">
      <c r="A148" s="19" t="s">
        <v>356</v>
      </c>
      <c r="C148" s="11" t="n">
        <f aca="false">SUM('Model inputs'!B215,'Model inputs'!B216,'Model inputs'!B217,'Model inputs'!B218,'Model inputs'!B219,'Model inputs'!B220)</f>
        <v>1500</v>
      </c>
    </row>
    <row r="149" customFormat="false" ht="18" hidden="false" customHeight="false" outlineLevel="0" collapsed="false">
      <c r="A149" s="19" t="s">
        <v>357</v>
      </c>
      <c r="B149" s="10" t="n">
        <f aca="false">'Model inputs'!B41+'Model inputs'!B32</f>
        <v>1700</v>
      </c>
    </row>
    <row r="150" customFormat="false" ht="18" hidden="false" customHeight="false" outlineLevel="0" collapsed="false">
      <c r="A150" s="19" t="s">
        <v>358</v>
      </c>
      <c r="B150" s="10" t="n">
        <f aca="false">'Model inputs'!B42+'Model inputs'!B33</f>
        <v>3041.2</v>
      </c>
    </row>
    <row r="151" customFormat="false" ht="18" hidden="false" customHeight="false" outlineLevel="0" collapsed="false">
      <c r="A151" s="19" t="s">
        <v>359</v>
      </c>
      <c r="B151" s="10" t="n">
        <f aca="false">'Model inputs'!B43+'Model inputs'!B34</f>
        <v>9766</v>
      </c>
    </row>
    <row r="152" customFormat="false" ht="18" hidden="false" customHeight="false" outlineLevel="0" collapsed="false">
      <c r="A152" s="19" t="s">
        <v>360</v>
      </c>
      <c r="B152" s="10" t="n">
        <f aca="false">'Model inputs'!B95+'Model inputs'!B86</f>
        <v>925</v>
      </c>
    </row>
    <row r="153" customFormat="false" ht="18" hidden="false" customHeight="false" outlineLevel="0" collapsed="false">
      <c r="A153" s="19" t="s">
        <v>361</v>
      </c>
      <c r="B153" s="10" t="n">
        <f aca="false">'Model inputs'!B96+'Model inputs'!B87</f>
        <v>2133.2</v>
      </c>
    </row>
    <row r="154" customFormat="false" ht="18" hidden="false" customHeight="false" outlineLevel="0" collapsed="false">
      <c r="A154" s="19" t="s">
        <v>362</v>
      </c>
      <c r="B154" s="10" t="n">
        <f aca="false">'Model inputs'!B97+'Model inputs'!B88</f>
        <v>7706</v>
      </c>
    </row>
    <row r="155" customFormat="false" ht="18" hidden="false" customHeight="false" outlineLevel="0" collapsed="false">
      <c r="A155" s="19" t="s">
        <v>363</v>
      </c>
      <c r="B155" s="10" t="n">
        <f aca="false">'Model inputs'!B6*'Model inputs'!B165</f>
        <v>0</v>
      </c>
    </row>
    <row r="156" customFormat="false" ht="18" hidden="false" customHeight="false" outlineLevel="0" collapsed="false">
      <c r="A156" s="19" t="s">
        <v>364</v>
      </c>
      <c r="B156" s="10" t="n">
        <f aca="false">'Model inputs'!B7*'Model inputs'!B166</f>
        <v>3500</v>
      </c>
    </row>
    <row r="157" customFormat="false" ht="18" hidden="false" customHeight="false" outlineLevel="0" collapsed="false">
      <c r="A157" s="19" t="s">
        <v>365</v>
      </c>
      <c r="B157" s="10" t="n">
        <f aca="false">'Model inputs'!B8*'Model inputs'!B167</f>
        <v>17500</v>
      </c>
    </row>
    <row r="158" customFormat="false" ht="18" hidden="false" customHeight="false" outlineLevel="0" collapsed="false">
      <c r="A158" s="19" t="s">
        <v>131</v>
      </c>
      <c r="B158" s="13" t="n">
        <v>0</v>
      </c>
    </row>
    <row r="159" customFormat="false" ht="18" hidden="false" customHeight="false" outlineLevel="1" collapsed="false">
      <c r="A159" s="20" t="s">
        <v>366</v>
      </c>
      <c r="B159" s="14" t="n">
        <f aca="false">'PM Validation budget'!B5</f>
        <v>100</v>
      </c>
    </row>
    <row r="160" customFormat="false" ht="18" hidden="false" customHeight="false" outlineLevel="1" collapsed="false">
      <c r="A160" s="20" t="s">
        <v>367</v>
      </c>
      <c r="B160" s="14" t="n">
        <f aca="false">'PM Validation budget'!B6</f>
        <v>200</v>
      </c>
    </row>
    <row r="161" customFormat="false" ht="18" hidden="false" customHeight="false" outlineLevel="1" collapsed="false">
      <c r="A161" s="20" t="s">
        <v>368</v>
      </c>
      <c r="B161" s="14" t="n">
        <f aca="false">'PM Validation budget'!B7</f>
        <v>300</v>
      </c>
    </row>
    <row r="162" customFormat="false" ht="18" hidden="false" customHeight="false" outlineLevel="1" collapsed="false">
      <c r="A162" s="20" t="s">
        <v>369</v>
      </c>
      <c r="B162" s="14" t="n">
        <f aca="false">'PM Validation budget'!B8</f>
        <v>350</v>
      </c>
    </row>
    <row r="163" customFormat="false" ht="18" hidden="false" customHeight="false" outlineLevel="1" collapsed="false">
      <c r="A163" s="20" t="s">
        <v>370</v>
      </c>
      <c r="B163" s="14" t="n">
        <f aca="false">'PM Validation budget'!B9</f>
        <v>400</v>
      </c>
    </row>
    <row r="164" customFormat="false" ht="18" hidden="false" customHeight="false" outlineLevel="1" collapsed="false">
      <c r="A164" s="20" t="s">
        <v>371</v>
      </c>
      <c r="B164" s="14" t="n">
        <f aca="false">'PM Validation budget'!B10</f>
        <v>150</v>
      </c>
    </row>
    <row r="165" customFormat="false" ht="18" hidden="false" customHeight="false" outlineLevel="0" collapsed="false">
      <c r="A165" s="19" t="s">
        <v>372</v>
      </c>
      <c r="B165" s="10" t="n">
        <f aca="false">'Model inputs'!B59*(1-'Model inputs'!B140)+'Model inputs'!B134*'Model inputs'!B140</f>
        <v>35</v>
      </c>
    </row>
    <row r="166" customFormat="false" ht="18" hidden="false" customHeight="false" outlineLevel="0" collapsed="false">
      <c r="A166" s="19" t="s">
        <v>373</v>
      </c>
      <c r="B166" s="10" t="n">
        <f aca="false">'Model inputs'!B60*(1-'Model inputs'!B141)+'Model inputs'!B135*'Model inputs'!B141</f>
        <v>35</v>
      </c>
    </row>
    <row r="167" customFormat="false" ht="18" hidden="false" customHeight="false" outlineLevel="0" collapsed="false">
      <c r="A167" s="19" t="s">
        <v>374</v>
      </c>
      <c r="B167" s="10" t="n">
        <f aca="false">'Model inputs'!B61*(1-'Model inputs'!B142)+'Model inputs'!B136*'Model inputs'!B142</f>
        <v>35</v>
      </c>
    </row>
    <row r="168" customFormat="false" ht="18" hidden="false" customHeight="false" outlineLevel="0" collapsed="false">
      <c r="A168" s="19" t="s">
        <v>375</v>
      </c>
      <c r="B168" s="10" t="n">
        <f aca="false">'Model inputs'!B6*'Model inputs'!B175+'Model inputs'!B14</f>
        <v>150</v>
      </c>
    </row>
    <row r="169" customFormat="false" ht="18" hidden="false" customHeight="false" outlineLevel="0" collapsed="false">
      <c r="A169" s="19" t="s">
        <v>376</v>
      </c>
      <c r="B169" s="10" t="n">
        <f aca="false">'Model inputs'!B50+'Model inputs'!B29+'Model inputs'!B11+'Model inputs'!B17+'Model inputs'!B20</f>
        <v>1550</v>
      </c>
    </row>
    <row r="170" customFormat="false" ht="18" hidden="false" customHeight="false" outlineLevel="0" collapsed="false">
      <c r="A170" s="19" t="s">
        <v>377</v>
      </c>
      <c r="B170" s="10" t="n">
        <f aca="false">'Model inputs'!B177*'Model inputs'!B47</f>
        <v>0</v>
      </c>
    </row>
    <row r="171" customFormat="false" ht="18" hidden="false" customHeight="false" outlineLevel="0" collapsed="false">
      <c r="A171" s="19" t="s">
        <v>378</v>
      </c>
      <c r="B171" s="21" t="n">
        <f aca="false">'PM Tax reserve assumption'!B5</f>
        <v>0.2</v>
      </c>
    </row>
    <row r="172" customFormat="false" ht="18" hidden="false" customHeight="false" outlineLevel="0" collapsed="false">
      <c r="A172" s="19" t="s">
        <v>379</v>
      </c>
      <c r="B172" s="10" t="n">
        <f aca="false">'Model inputs'!B6*'Model inputs'!B176+'Model inputs'!B68</f>
        <v>25</v>
      </c>
    </row>
    <row r="173" customFormat="false" ht="18" hidden="false" customHeight="false" outlineLevel="0" collapsed="false">
      <c r="A173" s="19" t="s">
        <v>380</v>
      </c>
      <c r="B173" s="10" t="n">
        <f aca="false">'Model inputs'!B104+'Model inputs'!B83+'Model inputs'!B65+'Model inputs'!B71+'Model inputs'!B74</f>
        <v>900</v>
      </c>
    </row>
    <row r="174" customFormat="false" ht="18" hidden="false" customHeight="false" outlineLevel="0" collapsed="false">
      <c r="A174" s="19" t="s">
        <v>381</v>
      </c>
      <c r="B174" s="10" t="n">
        <f aca="false">'Model inputs'!B177*'Model inputs'!B101</f>
        <v>0</v>
      </c>
    </row>
    <row r="175" customFormat="false" ht="18" hidden="false" customHeight="false" outlineLevel="0" collapsed="false">
      <c r="A175" s="19" t="s">
        <v>382</v>
      </c>
      <c r="B175" s="10" t="n">
        <f aca="false">'Model inputs'!B180+'Model inputs'!B183+'Model inputs'!B179+'Model inputs'!B178</f>
        <v>10.315</v>
      </c>
    </row>
    <row r="176" customFormat="false" ht="18" hidden="false" customHeight="false" outlineLevel="0" collapsed="false">
      <c r="A176" s="19" t="s">
        <v>383</v>
      </c>
      <c r="B176" s="10" t="n">
        <f aca="false">'Model inputs'!B180+'Model inputs'!B183+'Model inputs'!B182+'Model inputs'!B181</f>
        <v>7.465</v>
      </c>
    </row>
    <row r="177" customFormat="false" ht="18" hidden="false" customHeight="false" outlineLevel="0" collapsed="false">
      <c r="A177" s="19" t="s">
        <v>384</v>
      </c>
      <c r="B177" s="11" t="n">
        <f aca="false">'Model inputs'!B6*'Model inputs'!B113</f>
        <v>0</v>
      </c>
    </row>
    <row r="178" customFormat="false" ht="18" hidden="false" customHeight="false" outlineLevel="0" collapsed="false">
      <c r="A178" s="19" t="s">
        <v>385</v>
      </c>
      <c r="B178" s="10" t="n">
        <f aca="false">'Model inputs'!B23*(1-'Model inputs'!B140)+'Model inputs'!B53*'Model inputs'!B140</f>
        <v>1.2</v>
      </c>
    </row>
    <row r="179" customFormat="false" ht="18" hidden="false" customHeight="false" outlineLevel="0" collapsed="false">
      <c r="A179" s="19" t="s">
        <v>386</v>
      </c>
      <c r="B179" s="10" t="n">
        <f aca="false">('Model inputs'!B26*(1-'Model inputs'!B140)+'Model inputs'!B56*'Model inputs'!B140)*'Model inputs'!B131</f>
        <v>6</v>
      </c>
    </row>
    <row r="180" customFormat="false" ht="18" hidden="false" customHeight="false" outlineLevel="0" collapsed="false">
      <c r="A180" s="19" t="s">
        <v>387</v>
      </c>
      <c r="B180" s="11" t="n">
        <f aca="false">'Model inputs'!B184*'Model inputs'!B122</f>
        <v>1.8</v>
      </c>
    </row>
    <row r="181" customFormat="false" ht="18" hidden="false" customHeight="false" outlineLevel="0" collapsed="false">
      <c r="A181" s="19" t="s">
        <v>388</v>
      </c>
      <c r="B181" s="10" t="n">
        <f aca="false">'Model inputs'!B77*(1-'Model inputs'!B140)+'Model inputs'!B107*'Model inputs'!B140</f>
        <v>0.35</v>
      </c>
    </row>
    <row r="182" customFormat="false" ht="18" hidden="false" customHeight="false" outlineLevel="0" collapsed="false">
      <c r="A182" s="19" t="s">
        <v>389</v>
      </c>
      <c r="B182" s="10" t="n">
        <f aca="false">('Model inputs'!B80*(1-'Model inputs'!B140)+'Model inputs'!B110*'Model inputs'!B140)*'Model inputs'!B131</f>
        <v>4</v>
      </c>
    </row>
    <row r="183" customFormat="false" ht="18" hidden="false" customHeight="false" outlineLevel="0" collapsed="false">
      <c r="A183" s="19" t="s">
        <v>390</v>
      </c>
      <c r="B183" s="11" t="n">
        <f aca="false">'Model inputs'!B165*'Model inputs'!B119+'Model inputs'!B116</f>
        <v>1.315</v>
      </c>
    </row>
    <row r="184" customFormat="false" ht="18" hidden="false" customHeight="false" outlineLevel="0" collapsed="false">
      <c r="A184" s="19" t="s">
        <v>391</v>
      </c>
      <c r="B184" s="11" t="n">
        <f aca="false">'Model inputs'!B62*(1-'Model inputs'!B140)+'Model inputs'!B137*'Model inputs'!B140</f>
        <v>36</v>
      </c>
    </row>
    <row r="185" customFormat="false" ht="18" hidden="false" customHeight="false" outlineLevel="0" collapsed="false">
      <c r="A185" s="19" t="s">
        <v>392</v>
      </c>
      <c r="D185" s="14" t="n">
        <f aca="false">IF('Model inputs'!D44="","",'Model inputs'!D44)</f>
        <v>-15300</v>
      </c>
      <c r="E185" s="14" t="n">
        <f aca="false">IF('Model inputs'!E44="","",'Model inputs'!E44)</f>
        <v>1800</v>
      </c>
      <c r="F185" s="14" t="n">
        <f aca="false">IF('Model inputs'!F44="","",'Model inputs'!F44)</f>
        <v>100</v>
      </c>
      <c r="G185" s="14" t="n">
        <f aca="false">IF('Model inputs'!G44="","",'Model inputs'!G44)</f>
        <v>-1600</v>
      </c>
      <c r="H185" s="14" t="n">
        <f aca="false">IF('Model inputs'!H44="","",'Model inputs'!H44)</f>
        <v>-3300</v>
      </c>
      <c r="I185" s="14" t="n">
        <f aca="false">IF('Model inputs'!I44="","",'Model inputs'!I44)</f>
        <v>-5000</v>
      </c>
      <c r="J185" s="14" t="n">
        <f aca="false">IF('Model inputs'!J44="","",'Model inputs'!J44)</f>
        <v>-6700</v>
      </c>
      <c r="K185" s="14" t="n">
        <f aca="false">IF('Model inputs'!K44="","",'Model inputs'!K44)</f>
        <v>-8400</v>
      </c>
      <c r="L185" s="14" t="n">
        <f aca="false">IF('Model inputs'!L44="","",'Model inputs'!L44)</f>
        <v>-10100</v>
      </c>
      <c r="M185" s="14" t="n">
        <f aca="false">IF('Model inputs'!M44="","",'Model inputs'!M44)</f>
        <v>-11800</v>
      </c>
      <c r="N185" s="14" t="n">
        <f aca="false">IF('Model inputs'!N44="","",'Model inputs'!N44)</f>
        <v>-13500</v>
      </c>
      <c r="O185" s="14" t="n">
        <f aca="false">IF('Model inputs'!O44="","",'Model inputs'!O44)</f>
        <v>-15200</v>
      </c>
      <c r="P185" s="14" t="n">
        <f aca="false">IF('Model inputs'!P44="","",'Model inputs'!P44)</f>
        <v>-16900</v>
      </c>
      <c r="Q185" s="14" t="n">
        <f aca="false">0-'Model inputs'!B35</f>
        <v>-1700</v>
      </c>
      <c r="R185" s="14" t="n">
        <f aca="false">'Model inputs'!Q185-'Model inputs'!B35</f>
        <v>-3400</v>
      </c>
      <c r="S185" s="14" t="n">
        <f aca="false">'Model inputs'!R185-'Model inputs'!B35</f>
        <v>-5100</v>
      </c>
      <c r="T185" s="14" t="n">
        <f aca="false">'Model inputs'!S185-'Model inputs'!B35</f>
        <v>-6800</v>
      </c>
      <c r="U185" s="14" t="n">
        <f aca="false">'Model inputs'!T185-'Model inputs'!B35</f>
        <v>-8500</v>
      </c>
      <c r="V185" s="14" t="n">
        <f aca="false">'Model inputs'!U185-'Model inputs'!B35</f>
        <v>-10200</v>
      </c>
      <c r="W185" s="14" t="n">
        <f aca="false">'Model inputs'!V185-'Model inputs'!B35</f>
        <v>-11900</v>
      </c>
      <c r="X185" s="14" t="n">
        <f aca="false">'Model inputs'!W185-'Model inputs'!B35</f>
        <v>-13600</v>
      </c>
    </row>
    <row r="186" customFormat="false" ht="18" hidden="false" customHeight="false" outlineLevel="0" collapsed="false">
      <c r="A186" s="19" t="s">
        <v>393</v>
      </c>
      <c r="D186" s="14" t="n">
        <f aca="false">IF('Model inputs'!D45="","",'Model inputs'!D45)</f>
        <v>4129.2</v>
      </c>
      <c r="E186" s="14" t="n">
        <f aca="false">IF('Model inputs'!E45="","",'Model inputs'!E45)</f>
        <v>3958.8</v>
      </c>
      <c r="F186" s="14" t="n">
        <f aca="false">IF('Model inputs'!F45="","",'Model inputs'!F45)</f>
        <v>4417.6</v>
      </c>
      <c r="G186" s="14" t="n">
        <f aca="false">IF('Model inputs'!G45="","",'Model inputs'!G45)</f>
        <v>4876.4</v>
      </c>
      <c r="H186" s="14" t="n">
        <f aca="false">IF('Model inputs'!H45="","",'Model inputs'!H45)</f>
        <v>5335.2</v>
      </c>
      <c r="I186" s="14" t="n">
        <f aca="false">IF('Model inputs'!I45="","",'Model inputs'!I45)</f>
        <v>5794</v>
      </c>
      <c r="J186" s="14" t="n">
        <f aca="false">IF('Model inputs'!J45="","",'Model inputs'!J45)</f>
        <v>6252.8</v>
      </c>
      <c r="K186" s="14" t="n">
        <f aca="false">IF('Model inputs'!K45="","",'Model inputs'!K45)</f>
        <v>6711.6</v>
      </c>
      <c r="L186" s="14" t="n">
        <f aca="false">IF('Model inputs'!L45="","",'Model inputs'!L45)</f>
        <v>7170.4</v>
      </c>
      <c r="M186" s="14" t="n">
        <f aca="false">IF('Model inputs'!M45="","",'Model inputs'!M45)</f>
        <v>7629.2</v>
      </c>
      <c r="N186" s="14" t="n">
        <f aca="false">IF('Model inputs'!N45="","",'Model inputs'!N45)</f>
        <v>8088</v>
      </c>
      <c r="O186" s="14" t="n">
        <f aca="false">IF('Model inputs'!O45="","",'Model inputs'!O45)</f>
        <v>8546.8</v>
      </c>
      <c r="P186" s="14" t="n">
        <f aca="false">IF('Model inputs'!P45="","",'Model inputs'!P45)</f>
        <v>9005.6</v>
      </c>
      <c r="Q186" s="14" t="n">
        <f aca="false">0-'Model inputs'!B37</f>
        <v>458.8</v>
      </c>
      <c r="R186" s="14" t="n">
        <f aca="false">'Model inputs'!Q186-'Model inputs'!B37</f>
        <v>917.6</v>
      </c>
      <c r="S186" s="14" t="n">
        <f aca="false">'Model inputs'!R186-'Model inputs'!B37</f>
        <v>1376.4</v>
      </c>
      <c r="T186" s="14" t="n">
        <f aca="false">'Model inputs'!S186-'Model inputs'!B37</f>
        <v>1835.2</v>
      </c>
      <c r="U186" s="14" t="n">
        <f aca="false">'Model inputs'!T186-'Model inputs'!B37</f>
        <v>2294</v>
      </c>
      <c r="V186" s="14" t="n">
        <f aca="false">'Model inputs'!U186-'Model inputs'!B37</f>
        <v>2752.8</v>
      </c>
      <c r="W186" s="14" t="n">
        <f aca="false">'Model inputs'!V186-'Model inputs'!B37</f>
        <v>3211.6</v>
      </c>
      <c r="X186" s="14" t="n">
        <f aca="false">'Model inputs'!W186-'Model inputs'!B37</f>
        <v>3670.4</v>
      </c>
    </row>
    <row r="187" customFormat="false" ht="18" hidden="false" customHeight="false" outlineLevel="0" collapsed="false">
      <c r="A187" s="19" t="s">
        <v>394</v>
      </c>
      <c r="D187" s="14" t="n">
        <f aca="false">IF('Model inputs'!D46="","",'Model inputs'!D46)</f>
        <v>69606</v>
      </c>
      <c r="E187" s="14" t="n">
        <f aca="false">IF('Model inputs'!E46="","",'Model inputs'!E46)</f>
        <v>11234</v>
      </c>
      <c r="F187" s="14" t="n">
        <f aca="false">IF('Model inputs'!F46="","",'Model inputs'!F46)</f>
        <v>18968</v>
      </c>
      <c r="G187" s="14" t="n">
        <f aca="false">IF('Model inputs'!G46="","",'Model inputs'!G46)</f>
        <v>26702</v>
      </c>
      <c r="H187" s="14" t="n">
        <f aca="false">IF('Model inputs'!H46="","",'Model inputs'!H46)</f>
        <v>34436</v>
      </c>
      <c r="I187" s="14" t="n">
        <f aca="false">IF('Model inputs'!I46="","",'Model inputs'!I46)</f>
        <v>42170</v>
      </c>
      <c r="J187" s="14" t="n">
        <f aca="false">IF('Model inputs'!J46="","",'Model inputs'!J46)</f>
        <v>49904</v>
      </c>
      <c r="K187" s="14" t="n">
        <f aca="false">IF('Model inputs'!K46="","",'Model inputs'!K46)</f>
        <v>57638</v>
      </c>
      <c r="L187" s="14" t="n">
        <f aca="false">IF('Model inputs'!L46="","",'Model inputs'!L46)</f>
        <v>65372</v>
      </c>
      <c r="M187" s="14" t="n">
        <f aca="false">IF('Model inputs'!M46="","",'Model inputs'!M46)</f>
        <v>73106</v>
      </c>
      <c r="N187" s="14" t="n">
        <f aca="false">IF('Model inputs'!N46="","",'Model inputs'!N46)</f>
        <v>80840</v>
      </c>
      <c r="O187" s="14" t="n">
        <f aca="false">IF('Model inputs'!O46="","",'Model inputs'!O46)</f>
        <v>88574</v>
      </c>
      <c r="P187" s="14" t="n">
        <f aca="false">IF('Model inputs'!P46="","",'Model inputs'!P46)</f>
        <v>96308</v>
      </c>
      <c r="Q187" s="14" t="n">
        <f aca="false">0-'Model inputs'!B39</f>
        <v>7734</v>
      </c>
      <c r="R187" s="14" t="n">
        <f aca="false">'Model inputs'!Q187-'Model inputs'!B39</f>
        <v>15468</v>
      </c>
      <c r="S187" s="14" t="n">
        <f aca="false">'Model inputs'!R187-'Model inputs'!B39</f>
        <v>23202</v>
      </c>
      <c r="T187" s="14" t="n">
        <f aca="false">'Model inputs'!S187-'Model inputs'!B39</f>
        <v>30936</v>
      </c>
      <c r="U187" s="14" t="n">
        <f aca="false">'Model inputs'!T187-'Model inputs'!B39</f>
        <v>38670</v>
      </c>
      <c r="V187" s="14" t="n">
        <f aca="false">'Model inputs'!U187-'Model inputs'!B39</f>
        <v>46404</v>
      </c>
      <c r="W187" s="14" t="n">
        <f aca="false">'Model inputs'!V187-'Model inputs'!B39</f>
        <v>54138</v>
      </c>
      <c r="X187" s="14" t="n">
        <f aca="false">'Model inputs'!W187-'Model inputs'!B39</f>
        <v>61872</v>
      </c>
    </row>
    <row r="188" customFormat="false" ht="18" hidden="false" customHeight="false" outlineLevel="0" collapsed="false">
      <c r="A188" s="19" t="s">
        <v>395</v>
      </c>
      <c r="B188" s="21" t="n">
        <f aca="false">'PM Tax reserve assumption'!B5</f>
        <v>0.2</v>
      </c>
    </row>
    <row r="189" customFormat="false" ht="18" hidden="false" customHeight="false" outlineLevel="0" collapsed="false">
      <c r="A189" s="19" t="s">
        <v>396</v>
      </c>
      <c r="B189" s="21" t="n">
        <f aca="false">'PM Tax reserve assumption'!B5</f>
        <v>0.2</v>
      </c>
    </row>
    <row r="190" customFormat="false" ht="18" hidden="false" customHeight="false" outlineLevel="0" collapsed="false">
      <c r="A190" s="19" t="s">
        <v>397</v>
      </c>
      <c r="D190" s="14" t="n">
        <f aca="false">IF('Model inputs'!D98="","",'Model inputs'!D98)</f>
        <v>-8325</v>
      </c>
      <c r="E190" s="14" t="n">
        <f aca="false">IF('Model inputs'!E98="","",'Model inputs'!E98)</f>
        <v>2575</v>
      </c>
      <c r="F190" s="14" t="n">
        <f aca="false">IF('Model inputs'!F98="","",'Model inputs'!F98)</f>
        <v>1650</v>
      </c>
      <c r="G190" s="14" t="n">
        <f aca="false">IF('Model inputs'!G98="","",'Model inputs'!G98)</f>
        <v>725</v>
      </c>
      <c r="H190" s="14" t="n">
        <f aca="false">IF('Model inputs'!H98="","",'Model inputs'!H98)</f>
        <v>-200</v>
      </c>
      <c r="I190" s="14" t="n">
        <f aca="false">IF('Model inputs'!I98="","",'Model inputs'!I98)</f>
        <v>-1125</v>
      </c>
      <c r="J190" s="14" t="n">
        <f aca="false">IF('Model inputs'!J98="","",'Model inputs'!J98)</f>
        <v>-2050</v>
      </c>
      <c r="K190" s="14" t="n">
        <f aca="false">IF('Model inputs'!K98="","",'Model inputs'!K98)</f>
        <v>-2975</v>
      </c>
      <c r="L190" s="14" t="n">
        <f aca="false">IF('Model inputs'!L98="","",'Model inputs'!L98)</f>
        <v>-3900</v>
      </c>
      <c r="M190" s="14" t="n">
        <f aca="false">IF('Model inputs'!M98="","",'Model inputs'!M98)</f>
        <v>-4825</v>
      </c>
      <c r="N190" s="14" t="n">
        <f aca="false">IF('Model inputs'!N98="","",'Model inputs'!N98)</f>
        <v>-5750</v>
      </c>
      <c r="O190" s="14" t="n">
        <f aca="false">IF('Model inputs'!O98="","",'Model inputs'!O98)</f>
        <v>-6675</v>
      </c>
      <c r="P190" s="14" t="n">
        <f aca="false">IF('Model inputs'!P98="","",'Model inputs'!P98)</f>
        <v>-7600</v>
      </c>
      <c r="Q190" s="14" t="n">
        <f aca="false">0-'Model inputs'!B89</f>
        <v>-925</v>
      </c>
      <c r="R190" s="14" t="n">
        <f aca="false">'Model inputs'!Q190-'Model inputs'!B89</f>
        <v>-1850</v>
      </c>
      <c r="S190" s="14" t="n">
        <f aca="false">'Model inputs'!R190-'Model inputs'!B89</f>
        <v>-2775</v>
      </c>
      <c r="T190" s="14" t="n">
        <f aca="false">'Model inputs'!S190-'Model inputs'!B89</f>
        <v>-3700</v>
      </c>
      <c r="U190" s="14" t="n">
        <f aca="false">'Model inputs'!T190-'Model inputs'!B89</f>
        <v>-4625</v>
      </c>
      <c r="V190" s="14" t="n">
        <f aca="false">'Model inputs'!U190-'Model inputs'!B89</f>
        <v>-5550</v>
      </c>
      <c r="W190" s="14" t="n">
        <f aca="false">'Model inputs'!V190-'Model inputs'!B89</f>
        <v>-6475</v>
      </c>
      <c r="X190" s="14" t="n">
        <f aca="false">'Model inputs'!W190-'Model inputs'!B89</f>
        <v>-7400</v>
      </c>
    </row>
    <row r="191" customFormat="false" ht="18" hidden="false" customHeight="false" outlineLevel="0" collapsed="false">
      <c r="A191" s="19" t="s">
        <v>398</v>
      </c>
      <c r="D191" s="14" t="n">
        <f aca="false">IF('Model inputs'!D99="","",'Model inputs'!D99)</f>
        <v>12301.2</v>
      </c>
      <c r="E191" s="14" t="n">
        <f aca="false">IF('Model inputs'!E99="","",'Model inputs'!E99)</f>
        <v>4866.8</v>
      </c>
      <c r="F191" s="14" t="n">
        <f aca="false">IF('Model inputs'!F99="","",'Model inputs'!F99)</f>
        <v>6233.6</v>
      </c>
      <c r="G191" s="14" t="n">
        <f aca="false">IF('Model inputs'!G99="","",'Model inputs'!G99)</f>
        <v>7600.4</v>
      </c>
      <c r="H191" s="14" t="n">
        <f aca="false">IF('Model inputs'!H99="","",'Model inputs'!H99)</f>
        <v>8967.2</v>
      </c>
      <c r="I191" s="14" t="n">
        <f aca="false">IF('Model inputs'!I99="","",'Model inputs'!I99)</f>
        <v>10334</v>
      </c>
      <c r="J191" s="14" t="n">
        <f aca="false">IF('Model inputs'!J99="","",'Model inputs'!J99)</f>
        <v>11700.8</v>
      </c>
      <c r="K191" s="14" t="n">
        <f aca="false">IF('Model inputs'!K99="","",'Model inputs'!K99)</f>
        <v>13067.6</v>
      </c>
      <c r="L191" s="14" t="n">
        <f aca="false">IF('Model inputs'!L99="","",'Model inputs'!L99)</f>
        <v>14434.4</v>
      </c>
      <c r="M191" s="14" t="n">
        <f aca="false">IF('Model inputs'!M99="","",'Model inputs'!M99)</f>
        <v>15801.2</v>
      </c>
      <c r="N191" s="14" t="n">
        <f aca="false">IF('Model inputs'!N99="","",'Model inputs'!N99)</f>
        <v>17168</v>
      </c>
      <c r="O191" s="14" t="n">
        <f aca="false">IF('Model inputs'!O99="","",'Model inputs'!O99)</f>
        <v>18534.8</v>
      </c>
      <c r="P191" s="14" t="n">
        <f aca="false">IF('Model inputs'!P99="","",'Model inputs'!P99)</f>
        <v>19901.6</v>
      </c>
      <c r="Q191" s="14" t="n">
        <f aca="false">0-'Model inputs'!B91</f>
        <v>1366.8</v>
      </c>
      <c r="R191" s="14" t="n">
        <f aca="false">'Model inputs'!Q191-'Model inputs'!B91</f>
        <v>2733.6</v>
      </c>
      <c r="S191" s="14" t="n">
        <f aca="false">'Model inputs'!R191-'Model inputs'!B91</f>
        <v>4100.4</v>
      </c>
      <c r="T191" s="14" t="n">
        <f aca="false">'Model inputs'!S191-'Model inputs'!B91</f>
        <v>5467.2</v>
      </c>
      <c r="U191" s="14" t="n">
        <f aca="false">'Model inputs'!T191-'Model inputs'!B91</f>
        <v>6834</v>
      </c>
      <c r="V191" s="14" t="n">
        <f aca="false">'Model inputs'!U191-'Model inputs'!B91</f>
        <v>8200.8</v>
      </c>
      <c r="W191" s="14" t="n">
        <f aca="false">'Model inputs'!V191-'Model inputs'!B91</f>
        <v>9567.6</v>
      </c>
      <c r="X191" s="14" t="n">
        <f aca="false">'Model inputs'!W191-'Model inputs'!B91</f>
        <v>10934.4</v>
      </c>
    </row>
    <row r="192" customFormat="false" ht="18" hidden="false" customHeight="false" outlineLevel="0" collapsed="false">
      <c r="A192" s="19" t="s">
        <v>399</v>
      </c>
      <c r="D192" s="14" t="n">
        <f aca="false">IF('Model inputs'!D100="","",'Model inputs'!D100)</f>
        <v>88146</v>
      </c>
      <c r="E192" s="14" t="n">
        <f aca="false">IF('Model inputs'!E100="","",'Model inputs'!E100)</f>
        <v>13294</v>
      </c>
      <c r="F192" s="14" t="n">
        <f aca="false">IF('Model inputs'!F100="","",'Model inputs'!F100)</f>
        <v>23088</v>
      </c>
      <c r="G192" s="14" t="n">
        <f aca="false">IF('Model inputs'!G100="","",'Model inputs'!G100)</f>
        <v>32882</v>
      </c>
      <c r="H192" s="14" t="n">
        <f aca="false">IF('Model inputs'!H100="","",'Model inputs'!H100)</f>
        <v>42676</v>
      </c>
      <c r="I192" s="14" t="n">
        <f aca="false">IF('Model inputs'!I100="","",'Model inputs'!I100)</f>
        <v>52470</v>
      </c>
      <c r="J192" s="14" t="n">
        <f aca="false">IF('Model inputs'!J100="","",'Model inputs'!J100)</f>
        <v>62264</v>
      </c>
      <c r="K192" s="14" t="n">
        <f aca="false">IF('Model inputs'!K100="","",'Model inputs'!K100)</f>
        <v>72058</v>
      </c>
      <c r="L192" s="14" t="n">
        <f aca="false">IF('Model inputs'!L100="","",'Model inputs'!L100)</f>
        <v>81852</v>
      </c>
      <c r="M192" s="14" t="n">
        <f aca="false">IF('Model inputs'!M100="","",'Model inputs'!M100)</f>
        <v>91646</v>
      </c>
      <c r="N192" s="14" t="n">
        <f aca="false">IF('Model inputs'!N100="","",'Model inputs'!N100)</f>
        <v>101440</v>
      </c>
      <c r="O192" s="14" t="n">
        <f aca="false">IF('Model inputs'!O100="","",'Model inputs'!O100)</f>
        <v>111234</v>
      </c>
      <c r="P192" s="14" t="n">
        <f aca="false">IF('Model inputs'!P100="","",'Model inputs'!P100)</f>
        <v>121028</v>
      </c>
      <c r="Q192" s="14" t="n">
        <f aca="false">0-'Model inputs'!B93</f>
        <v>9794</v>
      </c>
      <c r="R192" s="14" t="n">
        <f aca="false">'Model inputs'!Q192-'Model inputs'!B93</f>
        <v>19588</v>
      </c>
      <c r="S192" s="14" t="n">
        <f aca="false">'Model inputs'!R192-'Model inputs'!B93</f>
        <v>29382</v>
      </c>
      <c r="T192" s="14" t="n">
        <f aca="false">'Model inputs'!S192-'Model inputs'!B93</f>
        <v>39176</v>
      </c>
      <c r="U192" s="14" t="n">
        <f aca="false">'Model inputs'!T192-'Model inputs'!B93</f>
        <v>48970</v>
      </c>
      <c r="V192" s="14" t="n">
        <f aca="false">'Model inputs'!U192-'Model inputs'!B93</f>
        <v>58764</v>
      </c>
      <c r="W192" s="14" t="n">
        <f aca="false">'Model inputs'!V192-'Model inputs'!B93</f>
        <v>68558</v>
      </c>
      <c r="X192" s="14" t="n">
        <f aca="false">'Model inputs'!W192-'Model inputs'!B93</f>
        <v>78352</v>
      </c>
    </row>
    <row r="193" customFormat="false" ht="18" hidden="false" customHeight="false" outlineLevel="0" collapsed="false">
      <c r="A193" s="19" t="s">
        <v>131</v>
      </c>
      <c r="C193" s="13" t="n">
        <v>0</v>
      </c>
    </row>
    <row r="194" customFormat="false" ht="18" hidden="false" customHeight="false" outlineLevel="1" collapsed="false">
      <c r="A194" s="20" t="s">
        <v>366</v>
      </c>
      <c r="C194" s="14" t="n">
        <f aca="false">'PM Validation budget'!B5</f>
        <v>100</v>
      </c>
    </row>
    <row r="195" customFormat="false" ht="18" hidden="false" customHeight="false" outlineLevel="1" collapsed="false">
      <c r="A195" s="20" t="s">
        <v>367</v>
      </c>
      <c r="C195" s="14" t="n">
        <f aca="false">'PM Validation budget'!B6</f>
        <v>200</v>
      </c>
    </row>
    <row r="196" customFormat="false" ht="18" hidden="false" customHeight="false" outlineLevel="1" collapsed="false">
      <c r="A196" s="20" t="s">
        <v>368</v>
      </c>
      <c r="C196" s="14" t="n">
        <f aca="false">'PM Validation budget'!B7</f>
        <v>300</v>
      </c>
    </row>
    <row r="197" customFormat="false" ht="18" hidden="false" customHeight="false" outlineLevel="1" collapsed="false">
      <c r="A197" s="20" t="s">
        <v>369</v>
      </c>
      <c r="C197" s="14" t="n">
        <f aca="false">'PM Validation budget'!B8</f>
        <v>350</v>
      </c>
    </row>
    <row r="198" customFormat="false" ht="18" hidden="false" customHeight="false" outlineLevel="1" collapsed="false">
      <c r="A198" s="20" t="s">
        <v>370</v>
      </c>
      <c r="C198" s="14" t="n">
        <f aca="false">'PM Validation budget'!B9</f>
        <v>400</v>
      </c>
    </row>
    <row r="199" customFormat="false" ht="18" hidden="false" customHeight="false" outlineLevel="1" collapsed="false">
      <c r="A199" s="20" t="s">
        <v>371</v>
      </c>
      <c r="C199" s="14" t="n">
        <f aca="false">'PM Validation budget'!B10</f>
        <v>150</v>
      </c>
    </row>
    <row r="200" customFormat="false" ht="18" hidden="false" customHeight="false" outlineLevel="0" collapsed="false">
      <c r="A200" s="19" t="s">
        <v>131</v>
      </c>
      <c r="B200" s="13" t="n">
        <v>0</v>
      </c>
    </row>
    <row r="201" customFormat="false" ht="18" hidden="false" customHeight="false" outlineLevel="1" collapsed="false">
      <c r="A201" s="20" t="s">
        <v>366</v>
      </c>
      <c r="B201" s="14" t="n">
        <f aca="false">'PM Validation budget'!B5</f>
        <v>100</v>
      </c>
    </row>
    <row r="202" customFormat="false" ht="18" hidden="false" customHeight="false" outlineLevel="1" collapsed="false">
      <c r="A202" s="20" t="s">
        <v>367</v>
      </c>
      <c r="B202" s="14" t="n">
        <f aca="false">'PM Validation budget'!B6</f>
        <v>200</v>
      </c>
    </row>
    <row r="203" customFormat="false" ht="18" hidden="false" customHeight="false" outlineLevel="1" collapsed="false">
      <c r="A203" s="20" t="s">
        <v>368</v>
      </c>
      <c r="B203" s="14" t="n">
        <f aca="false">'PM Validation budget'!B7</f>
        <v>300</v>
      </c>
    </row>
    <row r="204" customFormat="false" ht="18" hidden="false" customHeight="false" outlineLevel="1" collapsed="false">
      <c r="A204" s="20" t="s">
        <v>369</v>
      </c>
      <c r="B204" s="14" t="n">
        <f aca="false">'PM Validation budget'!B8</f>
        <v>350</v>
      </c>
    </row>
    <row r="205" customFormat="false" ht="18" hidden="false" customHeight="false" outlineLevel="1" collapsed="false">
      <c r="A205" s="20" t="s">
        <v>370</v>
      </c>
      <c r="B205" s="14" t="n">
        <f aca="false">'PM Validation budget'!B9</f>
        <v>400</v>
      </c>
    </row>
    <row r="206" customFormat="false" ht="18" hidden="false" customHeight="false" outlineLevel="1" collapsed="false">
      <c r="A206" s="20" t="s">
        <v>371</v>
      </c>
      <c r="B206" s="14" t="n">
        <f aca="false">'PM Validation budget'!B10</f>
        <v>150</v>
      </c>
    </row>
    <row r="207" customFormat="false" ht="18" hidden="false" customHeight="false" outlineLevel="0" collapsed="false">
      <c r="A207" s="19" t="s">
        <v>131</v>
      </c>
      <c r="C207" s="13" t="n">
        <v>0</v>
      </c>
    </row>
    <row r="208" customFormat="false" ht="18" hidden="false" customHeight="false" outlineLevel="1" collapsed="false">
      <c r="A208" s="20" t="s">
        <v>366</v>
      </c>
      <c r="C208" s="14" t="n">
        <f aca="false">'PM Validation budget'!B5</f>
        <v>100</v>
      </c>
    </row>
    <row r="209" customFormat="false" ht="18" hidden="false" customHeight="false" outlineLevel="1" collapsed="false">
      <c r="A209" s="20" t="s">
        <v>367</v>
      </c>
      <c r="C209" s="14" t="n">
        <f aca="false">'PM Validation budget'!B6</f>
        <v>200</v>
      </c>
    </row>
    <row r="210" customFormat="false" ht="18" hidden="false" customHeight="false" outlineLevel="1" collapsed="false">
      <c r="A210" s="20" t="s">
        <v>368</v>
      </c>
      <c r="C210" s="14" t="n">
        <f aca="false">'PM Validation budget'!B7</f>
        <v>300</v>
      </c>
    </row>
    <row r="211" customFormat="false" ht="18" hidden="false" customHeight="false" outlineLevel="1" collapsed="false">
      <c r="A211" s="20" t="s">
        <v>369</v>
      </c>
      <c r="C211" s="14" t="n">
        <f aca="false">'PM Validation budget'!B8</f>
        <v>350</v>
      </c>
    </row>
    <row r="212" customFormat="false" ht="18" hidden="false" customHeight="false" outlineLevel="1" collapsed="false">
      <c r="A212" s="20" t="s">
        <v>370</v>
      </c>
      <c r="C212" s="14" t="n">
        <f aca="false">'PM Validation budget'!B9</f>
        <v>400</v>
      </c>
    </row>
    <row r="213" customFormat="false" ht="18" hidden="false" customHeight="false" outlineLevel="1" collapsed="false">
      <c r="A213" s="20" t="s">
        <v>371</v>
      </c>
      <c r="C213" s="14" t="n">
        <f aca="false">'PM Validation budget'!B10</f>
        <v>150</v>
      </c>
    </row>
    <row r="214" customFormat="false" ht="18" hidden="false" customHeight="false" outlineLevel="0" collapsed="false">
      <c r="A214" s="19" t="s">
        <v>131</v>
      </c>
      <c r="B214" s="13" t="n">
        <v>0</v>
      </c>
    </row>
    <row r="215" customFormat="false" ht="18" hidden="false" customHeight="false" outlineLevel="1" collapsed="false">
      <c r="A215" s="20" t="s">
        <v>366</v>
      </c>
      <c r="B215" s="14" t="n">
        <f aca="false">'PM Validation budget'!B5</f>
        <v>100</v>
      </c>
    </row>
    <row r="216" customFormat="false" ht="18" hidden="false" customHeight="false" outlineLevel="1" collapsed="false">
      <c r="A216" s="20" t="s">
        <v>367</v>
      </c>
      <c r="B216" s="14" t="n">
        <f aca="false">'PM Validation budget'!B6</f>
        <v>200</v>
      </c>
    </row>
    <row r="217" customFormat="false" ht="18" hidden="false" customHeight="false" outlineLevel="1" collapsed="false">
      <c r="A217" s="20" t="s">
        <v>368</v>
      </c>
      <c r="B217" s="14" t="n">
        <f aca="false">'PM Validation budget'!B7</f>
        <v>300</v>
      </c>
    </row>
    <row r="218" customFormat="false" ht="18" hidden="false" customHeight="false" outlineLevel="1" collapsed="false">
      <c r="A218" s="20" t="s">
        <v>369</v>
      </c>
      <c r="B218" s="14" t="n">
        <f aca="false">'PM Validation budget'!B8</f>
        <v>350</v>
      </c>
    </row>
    <row r="219" customFormat="false" ht="18" hidden="false" customHeight="false" outlineLevel="1" collapsed="false">
      <c r="A219" s="20" t="s">
        <v>370</v>
      </c>
      <c r="B219" s="14" t="n">
        <f aca="false">'PM Validation budget'!B9</f>
        <v>400</v>
      </c>
    </row>
    <row r="220" customFormat="false" ht="18" hidden="false" customHeight="false" outlineLevel="1" collapsed="false">
      <c r="A220" s="20" t="s">
        <v>371</v>
      </c>
      <c r="B220" s="14" t="n">
        <f aca="false">'PM Validation budget'!B10</f>
        <v>150</v>
      </c>
    </row>
    <row r="221" customFormat="false" ht="18" hidden="false" customHeight="false" outlineLevel="0" collapsed="false">
      <c r="A221" s="19" t="s">
        <v>131</v>
      </c>
      <c r="C221" s="13" t="n">
        <v>0</v>
      </c>
    </row>
    <row r="222" customFormat="false" ht="18" hidden="false" customHeight="false" outlineLevel="1" collapsed="false">
      <c r="A222" s="20" t="s">
        <v>366</v>
      </c>
      <c r="C222" s="14" t="n">
        <f aca="false">'PM Validation budget'!B5</f>
        <v>100</v>
      </c>
    </row>
    <row r="223" customFormat="false" ht="18" hidden="false" customHeight="false" outlineLevel="1" collapsed="false">
      <c r="A223" s="20" t="s">
        <v>367</v>
      </c>
      <c r="C223" s="14" t="n">
        <f aca="false">'PM Validation budget'!B6</f>
        <v>200</v>
      </c>
    </row>
    <row r="224" customFormat="false" ht="18" hidden="false" customHeight="false" outlineLevel="1" collapsed="false">
      <c r="A224" s="20" t="s">
        <v>368</v>
      </c>
      <c r="C224" s="14" t="n">
        <f aca="false">'PM Validation budget'!B7</f>
        <v>300</v>
      </c>
    </row>
    <row r="225" customFormat="false" ht="18" hidden="false" customHeight="false" outlineLevel="1" collapsed="false">
      <c r="A225" s="20" t="s">
        <v>369</v>
      </c>
      <c r="C225" s="14" t="n">
        <f aca="false">'PM Validation budget'!B8</f>
        <v>350</v>
      </c>
    </row>
    <row r="226" customFormat="false" ht="18" hidden="false" customHeight="false" outlineLevel="1" collapsed="false">
      <c r="A226" s="20" t="s">
        <v>370</v>
      </c>
      <c r="C226" s="14" t="n">
        <f aca="false">'PM Validation budget'!B9</f>
        <v>400</v>
      </c>
    </row>
    <row r="227" customFormat="false" ht="18" hidden="false" customHeight="false" outlineLevel="1" collapsed="false">
      <c r="A227" s="20" t="s">
        <v>371</v>
      </c>
      <c r="C227" s="14" t="n">
        <f aca="false">'PM Validation budget'!B10</f>
        <v>150</v>
      </c>
    </row>
    <row r="228" customFormat="false" ht="18" hidden="false" customHeight="false" outlineLevel="0" collapsed="false">
      <c r="A228" s="19" t="s">
        <v>400</v>
      </c>
      <c r="C228" s="10" t="n">
        <f aca="false">'Model inputs'!B41+'Model inputs'!B32</f>
        <v>1700</v>
      </c>
    </row>
    <row r="229" customFormat="false" ht="18" hidden="false" customHeight="false" outlineLevel="0" collapsed="false">
      <c r="A229" s="19" t="s">
        <v>401</v>
      </c>
      <c r="C229" s="10" t="n">
        <f aca="false">'Model inputs'!B42+'Model inputs'!B33</f>
        <v>3041.2</v>
      </c>
    </row>
    <row r="230" customFormat="false" ht="18" hidden="false" customHeight="false" outlineLevel="0" collapsed="false">
      <c r="A230" s="19" t="s">
        <v>402</v>
      </c>
      <c r="C230" s="10" t="n">
        <f aca="false">'Model inputs'!B43+'Model inputs'!B34</f>
        <v>9766</v>
      </c>
    </row>
    <row r="231" customFormat="false" ht="18" hidden="false" customHeight="false" outlineLevel="0" collapsed="false">
      <c r="A231" s="19" t="s">
        <v>403</v>
      </c>
      <c r="C231" s="10" t="n">
        <f aca="false">'Model inputs'!B95+'Model inputs'!B86</f>
        <v>925</v>
      </c>
    </row>
    <row r="232" customFormat="false" ht="18" hidden="false" customHeight="false" outlineLevel="0" collapsed="false">
      <c r="A232" s="19" t="s">
        <v>404</v>
      </c>
      <c r="C232" s="10" t="n">
        <f aca="false">'Model inputs'!B96+'Model inputs'!B87</f>
        <v>2133.2</v>
      </c>
    </row>
    <row r="233" customFormat="false" ht="18" hidden="false" customHeight="false" outlineLevel="0" collapsed="false">
      <c r="A233" s="19" t="s">
        <v>405</v>
      </c>
      <c r="C233" s="10" t="n">
        <f aca="false">'Model inputs'!B97+'Model inputs'!B88</f>
        <v>7706</v>
      </c>
    </row>
    <row r="234" customFormat="false" ht="18" hidden="false" customHeight="false" outlineLevel="0" collapsed="false">
      <c r="A234" s="19" t="s">
        <v>406</v>
      </c>
      <c r="C234" s="10" t="n">
        <f aca="false">'Model inputs'!B6*'Model inputs'!B165</f>
        <v>0</v>
      </c>
    </row>
    <row r="235" customFormat="false" ht="18" hidden="false" customHeight="false" outlineLevel="0" collapsed="false">
      <c r="A235" s="19" t="s">
        <v>407</v>
      </c>
      <c r="C235" s="10" t="n">
        <f aca="false">'Model inputs'!B7*'Model inputs'!B166</f>
        <v>3500</v>
      </c>
    </row>
    <row r="236" customFormat="false" ht="18" hidden="false" customHeight="false" outlineLevel="0" collapsed="false">
      <c r="A236" s="19" t="s">
        <v>408</v>
      </c>
      <c r="C236" s="10" t="n">
        <f aca="false">'Model inputs'!B8*'Model inputs'!B167</f>
        <v>17500</v>
      </c>
    </row>
    <row r="237" customFormat="false" ht="18" hidden="false" customHeight="false" outlineLevel="0" collapsed="false">
      <c r="A237" s="19" t="s">
        <v>409</v>
      </c>
      <c r="B237" s="10" t="n">
        <f aca="false">'Model inputs'!B7*'Model inputs'!B249+'Model inputs'!B15</f>
        <v>1181.5</v>
      </c>
    </row>
    <row r="238" customFormat="false" ht="18" hidden="false" customHeight="false" outlineLevel="0" collapsed="false">
      <c r="A238" s="19" t="s">
        <v>410</v>
      </c>
      <c r="B238" s="10" t="n">
        <f aca="false">'Model inputs'!B8*'Model inputs'!B250+'Model inputs'!B16</f>
        <v>5307.5</v>
      </c>
    </row>
    <row r="239" customFormat="false" ht="18" hidden="false" customHeight="false" outlineLevel="0" collapsed="false">
      <c r="A239" s="19" t="s">
        <v>411</v>
      </c>
      <c r="B239" s="10" t="n">
        <f aca="false">'Model inputs'!B51+'Model inputs'!B30+'Model inputs'!B12+'Model inputs'!B18+'Model inputs'!B21</f>
        <v>1550</v>
      </c>
    </row>
    <row r="240" customFormat="false" ht="18" hidden="false" customHeight="false" outlineLevel="0" collapsed="false">
      <c r="A240" s="19" t="s">
        <v>412</v>
      </c>
      <c r="B240" s="10" t="n">
        <f aca="false">'Model inputs'!B52+'Model inputs'!B31+'Model inputs'!B13+'Model inputs'!B19+'Model inputs'!B22</f>
        <v>1550</v>
      </c>
    </row>
    <row r="241" customFormat="false" ht="18" hidden="false" customHeight="false" outlineLevel="0" collapsed="false">
      <c r="A241" s="19" t="s">
        <v>413</v>
      </c>
      <c r="B241" s="10" t="n">
        <f aca="false">'Model inputs'!B253*'Model inputs'!B48</f>
        <v>195</v>
      </c>
    </row>
    <row r="242" customFormat="false" ht="18" hidden="false" customHeight="false" outlineLevel="0" collapsed="false">
      <c r="A242" s="19" t="s">
        <v>414</v>
      </c>
      <c r="B242" s="10" t="n">
        <f aca="false">'Model inputs'!B254*'Model inputs'!B49</f>
        <v>975</v>
      </c>
    </row>
    <row r="243" customFormat="false" ht="18" hidden="false" customHeight="false" outlineLevel="0" collapsed="false">
      <c r="A243" s="19" t="s">
        <v>415</v>
      </c>
      <c r="B243" s="10" t="n">
        <f aca="false">'Model inputs'!B7*'Model inputs'!B251+'Model inputs'!B69</f>
        <v>771.5</v>
      </c>
    </row>
    <row r="244" customFormat="false" ht="18" hidden="false" customHeight="false" outlineLevel="0" collapsed="false">
      <c r="A244" s="19" t="s">
        <v>416</v>
      </c>
      <c r="B244" s="10" t="n">
        <f aca="false">'Model inputs'!B8*'Model inputs'!B252+'Model inputs'!B70</f>
        <v>3757.5</v>
      </c>
    </row>
    <row r="245" customFormat="false" ht="18" hidden="false" customHeight="false" outlineLevel="0" collapsed="false">
      <c r="A245" s="19" t="s">
        <v>417</v>
      </c>
      <c r="B245" s="10" t="n">
        <f aca="false">'Model inputs'!B105+'Model inputs'!B84+'Model inputs'!B66+'Model inputs'!B72+'Model inputs'!B75</f>
        <v>900</v>
      </c>
    </row>
    <row r="246" customFormat="false" ht="18" hidden="false" customHeight="false" outlineLevel="0" collapsed="false">
      <c r="A246" s="19" t="s">
        <v>418</v>
      </c>
      <c r="B246" s="10" t="n">
        <f aca="false">'Model inputs'!B106+'Model inputs'!B85+'Model inputs'!B67+'Model inputs'!B73+'Model inputs'!B76</f>
        <v>900</v>
      </c>
    </row>
    <row r="247" customFormat="false" ht="18" hidden="false" customHeight="false" outlineLevel="0" collapsed="false">
      <c r="A247" s="19" t="s">
        <v>419</v>
      </c>
      <c r="B247" s="10" t="n">
        <f aca="false">'Model inputs'!B253*'Model inputs'!B102</f>
        <v>120</v>
      </c>
    </row>
    <row r="248" customFormat="false" ht="18" hidden="false" customHeight="false" outlineLevel="0" collapsed="false">
      <c r="A248" s="19" t="s">
        <v>420</v>
      </c>
      <c r="B248" s="10" t="n">
        <f aca="false">'Model inputs'!B254*'Model inputs'!B103</f>
        <v>600</v>
      </c>
    </row>
    <row r="249" customFormat="false" ht="18" hidden="false" customHeight="false" outlineLevel="0" collapsed="false">
      <c r="A249" s="19" t="s">
        <v>421</v>
      </c>
      <c r="B249" s="10" t="n">
        <f aca="false">'Model inputs'!B259+'Model inputs'!B265+'Model inputs'!B257+'Model inputs'!B255</f>
        <v>10.315</v>
      </c>
    </row>
    <row r="250" customFormat="false" ht="18" hidden="false" customHeight="false" outlineLevel="0" collapsed="false">
      <c r="A250" s="19" t="s">
        <v>422</v>
      </c>
      <c r="B250" s="10" t="n">
        <f aca="false">'Model inputs'!B260+'Model inputs'!B266+'Model inputs'!B258+'Model inputs'!B256</f>
        <v>10.315</v>
      </c>
    </row>
    <row r="251" customFormat="false" ht="18" hidden="false" customHeight="false" outlineLevel="0" collapsed="false">
      <c r="A251" s="19" t="s">
        <v>423</v>
      </c>
      <c r="B251" s="10" t="n">
        <f aca="false">'Model inputs'!B259+'Model inputs'!B265+'Model inputs'!B263+'Model inputs'!B261</f>
        <v>7.465</v>
      </c>
    </row>
    <row r="252" customFormat="false" ht="18" hidden="false" customHeight="false" outlineLevel="0" collapsed="false">
      <c r="A252" s="19" t="s">
        <v>424</v>
      </c>
      <c r="B252" s="10" t="n">
        <f aca="false">'Model inputs'!B260+'Model inputs'!B266+'Model inputs'!B264+'Model inputs'!B262</f>
        <v>7.465</v>
      </c>
    </row>
    <row r="253" customFormat="false" ht="18" hidden="false" customHeight="false" outlineLevel="0" collapsed="false">
      <c r="A253" s="19" t="s">
        <v>425</v>
      </c>
      <c r="B253" s="11" t="n">
        <f aca="false">'Model inputs'!B7*'Model inputs'!B114</f>
        <v>3</v>
      </c>
    </row>
    <row r="254" customFormat="false" ht="18" hidden="false" customHeight="false" outlineLevel="0" collapsed="false">
      <c r="A254" s="19" t="s">
        <v>426</v>
      </c>
      <c r="B254" s="11" t="n">
        <f aca="false">'Model inputs'!B8*'Model inputs'!B115</f>
        <v>15</v>
      </c>
    </row>
    <row r="255" customFormat="false" ht="18" hidden="false" customHeight="false" outlineLevel="0" collapsed="false">
      <c r="A255" s="19" t="s">
        <v>427</v>
      </c>
      <c r="B255" s="10" t="n">
        <f aca="false">'Model inputs'!B24*(1-'Model inputs'!B141)+'Model inputs'!B54*'Model inputs'!B141</f>
        <v>1.2</v>
      </c>
    </row>
    <row r="256" customFormat="false" ht="18" hidden="false" customHeight="false" outlineLevel="0" collapsed="false">
      <c r="A256" s="19" t="s">
        <v>428</v>
      </c>
      <c r="B256" s="10" t="n">
        <f aca="false">'Model inputs'!B25*(1-'Model inputs'!B142)+'Model inputs'!B55*'Model inputs'!B142</f>
        <v>1.2</v>
      </c>
    </row>
    <row r="257" customFormat="false" ht="18" hidden="false" customHeight="false" outlineLevel="0" collapsed="false">
      <c r="A257" s="19" t="s">
        <v>429</v>
      </c>
      <c r="B257" s="10" t="n">
        <f aca="false">('Model inputs'!B27*(1-'Model inputs'!B141)+'Model inputs'!B57*'Model inputs'!B141)*'Model inputs'!B132</f>
        <v>6</v>
      </c>
    </row>
    <row r="258" customFormat="false" ht="18" hidden="false" customHeight="false" outlineLevel="0" collapsed="false">
      <c r="A258" s="19" t="s">
        <v>430</v>
      </c>
      <c r="B258" s="10" t="n">
        <f aca="false">('Model inputs'!B28*(1-'Model inputs'!B142)+'Model inputs'!B58*'Model inputs'!B142)*'Model inputs'!B133</f>
        <v>6</v>
      </c>
    </row>
    <row r="259" customFormat="false" ht="18" hidden="false" customHeight="false" outlineLevel="0" collapsed="false">
      <c r="A259" s="19" t="s">
        <v>431</v>
      </c>
      <c r="B259" s="11" t="n">
        <f aca="false">'Model inputs'!B267*'Model inputs'!B123</f>
        <v>1.8</v>
      </c>
    </row>
    <row r="260" customFormat="false" ht="18" hidden="false" customHeight="false" outlineLevel="0" collapsed="false">
      <c r="A260" s="19" t="s">
        <v>432</v>
      </c>
      <c r="B260" s="11" t="n">
        <f aca="false">'Model inputs'!B268*'Model inputs'!B124</f>
        <v>1.8</v>
      </c>
    </row>
    <row r="261" customFormat="false" ht="18" hidden="false" customHeight="false" outlineLevel="0" collapsed="false">
      <c r="A261" s="19" t="s">
        <v>433</v>
      </c>
      <c r="B261" s="10" t="n">
        <f aca="false">'Model inputs'!B78*(1-'Model inputs'!B141)+'Model inputs'!B108*'Model inputs'!B141</f>
        <v>0.35</v>
      </c>
    </row>
    <row r="262" customFormat="false" ht="18" hidden="false" customHeight="false" outlineLevel="0" collapsed="false">
      <c r="A262" s="19" t="s">
        <v>434</v>
      </c>
      <c r="B262" s="10" t="n">
        <f aca="false">'Model inputs'!B79*(1-'Model inputs'!B142)+'Model inputs'!B109*'Model inputs'!B142</f>
        <v>0.35</v>
      </c>
    </row>
    <row r="263" customFormat="false" ht="18" hidden="false" customHeight="false" outlineLevel="0" collapsed="false">
      <c r="A263" s="19" t="s">
        <v>435</v>
      </c>
      <c r="B263" s="10" t="n">
        <f aca="false">('Model inputs'!B81*(1-'Model inputs'!B141)+'Model inputs'!B111*'Model inputs'!B141)*'Model inputs'!B132</f>
        <v>4</v>
      </c>
    </row>
    <row r="264" customFormat="false" ht="18" hidden="false" customHeight="false" outlineLevel="0" collapsed="false">
      <c r="A264" s="19" t="s">
        <v>436</v>
      </c>
      <c r="B264" s="10" t="n">
        <f aca="false">('Model inputs'!B82*(1-'Model inputs'!B142)+'Model inputs'!B112*'Model inputs'!B142)*'Model inputs'!B133</f>
        <v>4</v>
      </c>
    </row>
    <row r="265" customFormat="false" ht="18" hidden="false" customHeight="false" outlineLevel="0" collapsed="false">
      <c r="A265" s="19" t="s">
        <v>437</v>
      </c>
      <c r="B265" s="11" t="n">
        <f aca="false">'Model inputs'!B166*'Model inputs'!B120+'Model inputs'!B117</f>
        <v>1.315</v>
      </c>
    </row>
    <row r="266" customFormat="false" ht="18" hidden="false" customHeight="false" outlineLevel="0" collapsed="false">
      <c r="A266" s="19" t="s">
        <v>438</v>
      </c>
      <c r="B266" s="11" t="n">
        <f aca="false">'Model inputs'!B167*'Model inputs'!B121+'Model inputs'!B118</f>
        <v>1.315</v>
      </c>
    </row>
    <row r="267" customFormat="false" ht="18" hidden="false" customHeight="false" outlineLevel="0" collapsed="false">
      <c r="A267" s="19" t="s">
        <v>439</v>
      </c>
      <c r="B267" s="11" t="n">
        <f aca="false">'Model inputs'!B63*(1-'Model inputs'!B141)+'Model inputs'!B138*'Model inputs'!B141</f>
        <v>36</v>
      </c>
    </row>
    <row r="268" customFormat="false" ht="18" hidden="false" customHeight="false" outlineLevel="0" collapsed="false">
      <c r="A268" s="19" t="s">
        <v>440</v>
      </c>
      <c r="B268" s="11" t="n">
        <f aca="false">'Model inputs'!B64*(1-'Model inputs'!B142)+'Model inputs'!B139*'Model inputs'!B142</f>
        <v>36</v>
      </c>
    </row>
    <row r="269" customFormat="false" ht="18" hidden="false" customHeight="false" outlineLevel="0" collapsed="false">
      <c r="A269" s="19" t="s">
        <v>441</v>
      </c>
      <c r="C269" s="11" t="n">
        <f aca="false">'PM Hypothetical assumptions'!B5</f>
        <v>0</v>
      </c>
    </row>
    <row r="270" customFormat="false" ht="18" hidden="false" customHeight="false" outlineLevel="0" collapsed="false">
      <c r="A270" s="19" t="s">
        <v>442</v>
      </c>
      <c r="C270" s="11" t="n">
        <f aca="false">'Model inputs'!B7</f>
        <v>100</v>
      </c>
    </row>
    <row r="271" customFormat="false" ht="18" hidden="false" customHeight="false" outlineLevel="0" collapsed="false">
      <c r="A271" s="19" t="s">
        <v>443</v>
      </c>
      <c r="C271" s="11" t="n">
        <f aca="false">'Model inputs'!B8</f>
        <v>500</v>
      </c>
    </row>
    <row r="272" customFormat="false" ht="18" hidden="false" customHeight="false" outlineLevel="0" collapsed="false">
      <c r="A272" s="19" t="s">
        <v>444</v>
      </c>
      <c r="C272" s="10" t="n">
        <f aca="false">MAX(0,'Model inputs'!B155-'Model inputs'!B41)*'Model inputs'!B171</f>
        <v>0</v>
      </c>
    </row>
    <row r="273" customFormat="false" ht="18" hidden="false" customHeight="false" outlineLevel="0" collapsed="false">
      <c r="A273" s="19" t="s">
        <v>445</v>
      </c>
      <c r="C273" s="10" t="n">
        <f aca="false">MAX(0,'Model inputs'!B156-'Model inputs'!B42)*'Model inputs'!B188</f>
        <v>114.7</v>
      </c>
    </row>
    <row r="274" customFormat="false" ht="18" hidden="false" customHeight="false" outlineLevel="0" collapsed="false">
      <c r="A274" s="19" t="s">
        <v>446</v>
      </c>
      <c r="C274" s="10" t="n">
        <f aca="false">MAX(0,'Model inputs'!B157-'Model inputs'!B43)*'Model inputs'!B189</f>
        <v>1933.5</v>
      </c>
    </row>
    <row r="275" customFormat="false" ht="18" hidden="false" customHeight="false" outlineLevel="0" collapsed="false">
      <c r="A275" s="19" t="s">
        <v>447</v>
      </c>
      <c r="C275" s="10" t="n">
        <f aca="false">'Model inputs'!B168+'Model inputs'!B170+'Model inputs'!B169</f>
        <v>1700</v>
      </c>
    </row>
    <row r="276" customFormat="false" ht="18" hidden="false" customHeight="false" outlineLevel="0" collapsed="false">
      <c r="A276" s="19" t="s">
        <v>448</v>
      </c>
      <c r="C276" s="10" t="n">
        <f aca="false">'Model inputs'!B237+'Model inputs'!B241+'Model inputs'!B239</f>
        <v>2926.5</v>
      </c>
    </row>
    <row r="277" customFormat="false" ht="18" hidden="false" customHeight="false" outlineLevel="0" collapsed="false">
      <c r="A277" s="19" t="s">
        <v>449</v>
      </c>
      <c r="C277" s="10" t="n">
        <f aca="false">'Model inputs'!B238+'Model inputs'!B242+'Model inputs'!B240</f>
        <v>7832.5</v>
      </c>
    </row>
    <row r="278" customFormat="false" ht="18" hidden="false" customHeight="false" outlineLevel="0" collapsed="false">
      <c r="A278" s="19" t="s">
        <v>450</v>
      </c>
      <c r="C278" s="10" t="n">
        <f aca="false">MAX(0,'Model inputs'!B155-'Model inputs'!B95)*'Model inputs'!B171</f>
        <v>0</v>
      </c>
    </row>
    <row r="279" customFormat="false" ht="18" hidden="false" customHeight="false" outlineLevel="0" collapsed="false">
      <c r="A279" s="19" t="s">
        <v>451</v>
      </c>
      <c r="C279" s="10" t="n">
        <f aca="false">MAX(0,'Model inputs'!B156-'Model inputs'!B96)*'Model inputs'!B188</f>
        <v>341.7</v>
      </c>
    </row>
    <row r="280" customFormat="false" ht="18" hidden="false" customHeight="false" outlineLevel="0" collapsed="false">
      <c r="A280" s="19" t="s">
        <v>452</v>
      </c>
      <c r="C280" s="10" t="n">
        <f aca="false">MAX(0,'Model inputs'!B157-'Model inputs'!B97)*'Model inputs'!B189</f>
        <v>2448.5</v>
      </c>
    </row>
    <row r="281" customFormat="false" ht="18" hidden="false" customHeight="false" outlineLevel="0" collapsed="false">
      <c r="A281" s="19" t="s">
        <v>453</v>
      </c>
      <c r="C281" s="10" t="n">
        <f aca="false">'Model inputs'!B172+'Model inputs'!B174+'Model inputs'!B173</f>
        <v>925</v>
      </c>
    </row>
    <row r="282" customFormat="false" ht="18" hidden="false" customHeight="false" outlineLevel="0" collapsed="false">
      <c r="A282" s="19" t="s">
        <v>454</v>
      </c>
      <c r="C282" s="10" t="n">
        <f aca="false">'Model inputs'!B243+'Model inputs'!B247+'Model inputs'!B245</f>
        <v>1791.5</v>
      </c>
    </row>
    <row r="283" customFormat="false" ht="18" hidden="false" customHeight="false" outlineLevel="0" collapsed="false">
      <c r="A283" s="19" t="s">
        <v>455</v>
      </c>
      <c r="C283" s="10" t="n">
        <f aca="false">'Model inputs'!B244+'Model inputs'!B248+'Model inputs'!B246</f>
        <v>5257.5</v>
      </c>
    </row>
    <row r="284" customFormat="false" ht="18" hidden="false" customHeight="false" outlineLevel="0" collapsed="false">
      <c r="A284" s="19" t="s">
        <v>456</v>
      </c>
      <c r="C284" s="10" t="n">
        <f aca="false">'Model inputs'!B59*(1-'Model inputs'!B140)+'Model inputs'!B134*'Model inputs'!B140</f>
        <v>35</v>
      </c>
    </row>
    <row r="285" customFormat="false" ht="18" hidden="false" customHeight="false" outlineLevel="0" collapsed="false">
      <c r="A285" s="19" t="s">
        <v>457</v>
      </c>
      <c r="C285" s="10" t="n">
        <f aca="false">'Model inputs'!B60*(1-'Model inputs'!B141)+'Model inputs'!B135*'Model inputs'!B141</f>
        <v>35</v>
      </c>
    </row>
    <row r="286" customFormat="false" ht="18" hidden="false" customHeight="false" outlineLevel="0" collapsed="false">
      <c r="A286" s="19" t="s">
        <v>458</v>
      </c>
      <c r="C286" s="10" t="n">
        <f aca="false">'Model inputs'!B61*(1-'Model inputs'!B142)+'Model inputs'!B136*'Model inputs'!B142</f>
        <v>35</v>
      </c>
    </row>
    <row r="287" customFormat="false" ht="18" hidden="false" customHeight="false" outlineLevel="0" collapsed="false">
      <c r="A287" s="19" t="s">
        <v>459</v>
      </c>
      <c r="C287" s="10" t="n">
        <f aca="false">'PM Hypothetical assumptions'!B7</f>
        <v>19</v>
      </c>
    </row>
    <row r="288" customFormat="false" ht="18" hidden="false" customHeight="false" outlineLevel="0" collapsed="false">
      <c r="A288" s="19" t="s">
        <v>460</v>
      </c>
      <c r="C288" s="10" t="n">
        <f aca="false">'PM Hypothetical assumptions'!B7</f>
        <v>19</v>
      </c>
    </row>
    <row r="289" customFormat="false" ht="18" hidden="false" customHeight="false" outlineLevel="0" collapsed="false">
      <c r="A289" s="19" t="s">
        <v>461</v>
      </c>
      <c r="C289" s="10" t="n">
        <f aca="false">'PM Hypothetical assumptions'!B7</f>
        <v>19</v>
      </c>
    </row>
    <row r="290" customFormat="false" ht="18" hidden="false" customHeight="false" outlineLevel="0" collapsed="false">
      <c r="A290" s="19" t="s">
        <v>462</v>
      </c>
      <c r="C290" s="10" t="n">
        <f aca="false">'PM Hypothetical assumptions'!B8</f>
        <v>99</v>
      </c>
    </row>
    <row r="291" customFormat="false" ht="18" hidden="false" customHeight="false" outlineLevel="0" collapsed="false">
      <c r="A291" s="19" t="s">
        <v>463</v>
      </c>
      <c r="C291" s="10" t="n">
        <f aca="false">'PM Hypothetical assumptions'!B8</f>
        <v>99</v>
      </c>
    </row>
    <row r="292" customFormat="false" ht="18" hidden="false" customHeight="false" outlineLevel="0" collapsed="false">
      <c r="A292" s="19" t="s">
        <v>464</v>
      </c>
      <c r="C292" s="10" t="n">
        <f aca="false">'PM Hypothetical assumptions'!B8</f>
        <v>99</v>
      </c>
    </row>
    <row r="293" customFormat="false" ht="18" hidden="false" customHeight="false" outlineLevel="0" collapsed="false">
      <c r="A293" s="19" t="s">
        <v>465</v>
      </c>
      <c r="C293" s="9" t="n">
        <f aca="false">'PM Hypothetical assumptions'!B6</f>
        <v>0.2</v>
      </c>
    </row>
    <row r="294" customFormat="false" ht="18" hidden="false" customHeight="false" outlineLevel="0" collapsed="false">
      <c r="A294" s="19" t="s">
        <v>466</v>
      </c>
      <c r="C294" s="9" t="n">
        <f aca="false">'PM Hypothetical assumptions'!B6</f>
        <v>0.2</v>
      </c>
    </row>
    <row r="295" customFormat="false" ht="18" hidden="false" customHeight="false" outlineLevel="0" collapsed="false">
      <c r="A295" s="19" t="s">
        <v>467</v>
      </c>
      <c r="C295" s="9" t="n">
        <f aca="false">'PM Hypothetical assumptions'!B6</f>
        <v>0.2</v>
      </c>
    </row>
    <row r="296" customFormat="false" ht="18" hidden="false" customHeight="false" outlineLevel="0" collapsed="false">
      <c r="A296" s="19" t="s">
        <v>468</v>
      </c>
      <c r="C296" s="21" t="n">
        <f aca="false">'PM Tax reserve assumption'!B5</f>
        <v>0.2</v>
      </c>
    </row>
    <row r="297" customFormat="false" ht="18" hidden="false" customHeight="false" outlineLevel="0" collapsed="false">
      <c r="A297" s="19" t="s">
        <v>469</v>
      </c>
      <c r="C297" s="21" t="n">
        <f aca="false">'PM Tax reserve assumption'!B5</f>
        <v>0.2</v>
      </c>
    </row>
    <row r="298" customFormat="false" ht="18" hidden="false" customHeight="false" outlineLevel="0" collapsed="false">
      <c r="A298" s="19" t="s">
        <v>470</v>
      </c>
      <c r="C298" s="21" t="n">
        <f aca="false">'PM Tax reserve assumption'!B5</f>
        <v>0.2</v>
      </c>
    </row>
    <row r="299" customFormat="false" ht="18" hidden="false" customHeight="false" outlineLevel="0" collapsed="false">
      <c r="A299" s="19" t="s">
        <v>471</v>
      </c>
      <c r="C299" s="10" t="n">
        <f aca="false">'Model inputs'!B6*'Model inputs'!B175+'Model inputs'!B14</f>
        <v>150</v>
      </c>
    </row>
    <row r="300" customFormat="false" ht="18" hidden="false" customHeight="false" outlineLevel="0" collapsed="false">
      <c r="A300" s="19" t="s">
        <v>472</v>
      </c>
      <c r="C300" s="10" t="n">
        <f aca="false">'Model inputs'!B7*'Model inputs'!B249+'Model inputs'!B15</f>
        <v>1181.5</v>
      </c>
    </row>
    <row r="301" customFormat="false" ht="18" hidden="false" customHeight="false" outlineLevel="0" collapsed="false">
      <c r="A301" s="19" t="s">
        <v>473</v>
      </c>
      <c r="C301" s="10" t="n">
        <f aca="false">'Model inputs'!B8*'Model inputs'!B250+'Model inputs'!B16</f>
        <v>5307.5</v>
      </c>
    </row>
    <row r="302" customFormat="false" ht="18" hidden="false" customHeight="false" outlineLevel="0" collapsed="false">
      <c r="A302" s="19" t="s">
        <v>474</v>
      </c>
      <c r="C302" s="10" t="n">
        <f aca="false">'Model inputs'!B50+'Model inputs'!B29+'Model inputs'!B11+'Model inputs'!B17+'Model inputs'!B20</f>
        <v>1550</v>
      </c>
    </row>
    <row r="303" customFormat="false" ht="18" hidden="false" customHeight="false" outlineLevel="0" collapsed="false">
      <c r="A303" s="19" t="s">
        <v>475</v>
      </c>
      <c r="C303" s="10" t="n">
        <f aca="false">'Model inputs'!B51+'Model inputs'!B30+'Model inputs'!B12+'Model inputs'!B18+'Model inputs'!B21</f>
        <v>1550</v>
      </c>
    </row>
    <row r="304" customFormat="false" ht="18" hidden="false" customHeight="false" outlineLevel="0" collapsed="false">
      <c r="A304" s="19" t="s">
        <v>476</v>
      </c>
      <c r="C304" s="10" t="n">
        <f aca="false">'Model inputs'!B52+'Model inputs'!B31+'Model inputs'!B13+'Model inputs'!B19+'Model inputs'!B22</f>
        <v>1550</v>
      </c>
    </row>
    <row r="305" customFormat="false" ht="18" hidden="false" customHeight="false" outlineLevel="0" collapsed="false">
      <c r="A305" s="19" t="s">
        <v>477</v>
      </c>
      <c r="C305" s="10" t="n">
        <f aca="false">'Model inputs'!B177*'Model inputs'!B47</f>
        <v>0</v>
      </c>
    </row>
    <row r="306" customFormat="false" ht="18" hidden="false" customHeight="false" outlineLevel="0" collapsed="false">
      <c r="A306" s="19" t="s">
        <v>478</v>
      </c>
      <c r="C306" s="10" t="n">
        <f aca="false">'Model inputs'!B253*'Model inputs'!B48</f>
        <v>195</v>
      </c>
    </row>
    <row r="307" customFormat="false" ht="18" hidden="false" customHeight="false" outlineLevel="0" collapsed="false">
      <c r="A307" s="19" t="s">
        <v>479</v>
      </c>
      <c r="C307" s="10" t="n">
        <f aca="false">'Model inputs'!B254*'Model inputs'!B49</f>
        <v>975</v>
      </c>
    </row>
    <row r="308" customFormat="false" ht="18" hidden="false" customHeight="false" outlineLevel="0" collapsed="false">
      <c r="A308" s="19" t="s">
        <v>480</v>
      </c>
      <c r="C308" s="10" t="n">
        <f aca="false">'Model inputs'!B6*'Model inputs'!B176+'Model inputs'!B68</f>
        <v>25</v>
      </c>
    </row>
    <row r="309" customFormat="false" ht="18" hidden="false" customHeight="false" outlineLevel="0" collapsed="false">
      <c r="A309" s="19" t="s">
        <v>481</v>
      </c>
      <c r="C309" s="10" t="n">
        <f aca="false">'Model inputs'!B7*'Model inputs'!B251+'Model inputs'!B69</f>
        <v>771.5</v>
      </c>
    </row>
    <row r="310" customFormat="false" ht="18" hidden="false" customHeight="false" outlineLevel="0" collapsed="false">
      <c r="A310" s="19" t="s">
        <v>482</v>
      </c>
      <c r="C310" s="10" t="n">
        <f aca="false">'Model inputs'!B8*'Model inputs'!B252+'Model inputs'!B70</f>
        <v>3757.5</v>
      </c>
    </row>
    <row r="311" customFormat="false" ht="18" hidden="false" customHeight="false" outlineLevel="0" collapsed="false">
      <c r="A311" s="19" t="s">
        <v>483</v>
      </c>
      <c r="C311" s="10" t="n">
        <f aca="false">'Model inputs'!B104+'Model inputs'!B83+'Model inputs'!B65+'Model inputs'!B71+'Model inputs'!B74</f>
        <v>900</v>
      </c>
    </row>
    <row r="312" customFormat="false" ht="18" hidden="false" customHeight="false" outlineLevel="0" collapsed="false">
      <c r="A312" s="19" t="s">
        <v>484</v>
      </c>
      <c r="C312" s="10" t="n">
        <f aca="false">'Model inputs'!B105+'Model inputs'!B84+'Model inputs'!B66+'Model inputs'!B72+'Model inputs'!B75</f>
        <v>900</v>
      </c>
    </row>
    <row r="313" customFormat="false" ht="18" hidden="false" customHeight="false" outlineLevel="0" collapsed="false">
      <c r="A313" s="19" t="s">
        <v>485</v>
      </c>
      <c r="C313" s="10" t="n">
        <f aca="false">'Model inputs'!B106+'Model inputs'!B85+'Model inputs'!B67+'Model inputs'!B73+'Model inputs'!B76</f>
        <v>900</v>
      </c>
    </row>
    <row r="314" customFormat="false" ht="18" hidden="false" customHeight="false" outlineLevel="0" collapsed="false">
      <c r="A314" s="19" t="s">
        <v>486</v>
      </c>
      <c r="C314" s="10" t="n">
        <f aca="false">'Model inputs'!B177*'Model inputs'!B101</f>
        <v>0</v>
      </c>
    </row>
    <row r="315" customFormat="false" ht="18" hidden="false" customHeight="false" outlineLevel="0" collapsed="false">
      <c r="A315" s="19" t="s">
        <v>487</v>
      </c>
      <c r="C315" s="10" t="n">
        <f aca="false">'Model inputs'!B253*'Model inputs'!B102</f>
        <v>120</v>
      </c>
    </row>
    <row r="316" customFormat="false" ht="18" hidden="false" customHeight="false" outlineLevel="0" collapsed="false">
      <c r="A316" s="19" t="s">
        <v>488</v>
      </c>
      <c r="C316" s="10" t="n">
        <f aca="false">'Model inputs'!B254*'Model inputs'!B103</f>
        <v>600</v>
      </c>
    </row>
    <row r="317" customFormat="false" ht="18" hidden="false" customHeight="false" outlineLevel="0" collapsed="false">
      <c r="A317" s="19" t="s">
        <v>489</v>
      </c>
      <c r="C317" s="10" t="n">
        <f aca="false">'PM Hypothetical assumptions'!B34</f>
        <v>40</v>
      </c>
    </row>
    <row r="318" customFormat="false" ht="18" hidden="false" customHeight="false" outlineLevel="0" collapsed="false">
      <c r="A318" s="19" t="s">
        <v>490</v>
      </c>
      <c r="C318" s="10" t="n">
        <f aca="false">'PM Hypothetical assumptions'!B34</f>
        <v>40</v>
      </c>
    </row>
    <row r="319" customFormat="false" ht="18" hidden="false" customHeight="false" outlineLevel="0" collapsed="false">
      <c r="A319" s="19" t="s">
        <v>491</v>
      </c>
      <c r="C319" s="10" t="n">
        <f aca="false">'PM Hypothetical assumptions'!B34</f>
        <v>40</v>
      </c>
    </row>
    <row r="320" customFormat="false" ht="18" hidden="false" customHeight="false" outlineLevel="0" collapsed="false">
      <c r="A320" s="19" t="s">
        <v>492</v>
      </c>
      <c r="C320" s="11" t="n">
        <f aca="false">'PM Hypothetical assumptions'!B28</f>
        <v>150</v>
      </c>
    </row>
    <row r="321" customFormat="false" ht="18" hidden="false" customHeight="false" outlineLevel="0" collapsed="false">
      <c r="A321" s="19" t="s">
        <v>493</v>
      </c>
      <c r="C321" s="11" t="n">
        <f aca="false">'PM Hypothetical assumptions'!B28</f>
        <v>150</v>
      </c>
    </row>
    <row r="322" customFormat="false" ht="18" hidden="false" customHeight="false" outlineLevel="0" collapsed="false">
      <c r="A322" s="19" t="s">
        <v>494</v>
      </c>
      <c r="C322" s="11" t="n">
        <f aca="false">'PM Hypothetical assumptions'!B28</f>
        <v>150</v>
      </c>
    </row>
    <row r="323" customFormat="false" ht="18" hidden="false" customHeight="false" outlineLevel="0" collapsed="false">
      <c r="A323" s="19" t="s">
        <v>495</v>
      </c>
      <c r="C323" s="10" t="n">
        <f aca="false">'PM Hypothetical assumptions'!B36</f>
        <v>1000</v>
      </c>
    </row>
    <row r="324" customFormat="false" ht="18" hidden="false" customHeight="false" outlineLevel="0" collapsed="false">
      <c r="A324" s="19" t="s">
        <v>496</v>
      </c>
      <c r="C324" s="10" t="n">
        <f aca="false">'PM Hypothetical assumptions'!B36</f>
        <v>1000</v>
      </c>
    </row>
    <row r="325" customFormat="false" ht="18" hidden="false" customHeight="false" outlineLevel="0" collapsed="false">
      <c r="A325" s="19" t="s">
        <v>497</v>
      </c>
      <c r="C325" s="10" t="n">
        <f aca="false">'PM Hypothetical assumptions'!B36</f>
        <v>1000</v>
      </c>
    </row>
    <row r="326" customFormat="false" ht="18" hidden="false" customHeight="false" outlineLevel="0" collapsed="false">
      <c r="A326" s="19" t="s">
        <v>498</v>
      </c>
      <c r="C326" s="10" t="n">
        <f aca="false">'PM Hypothetical assumptions'!B38</f>
        <v>300</v>
      </c>
    </row>
    <row r="327" customFormat="false" ht="18" hidden="false" customHeight="false" outlineLevel="0" collapsed="false">
      <c r="A327" s="19" t="s">
        <v>499</v>
      </c>
      <c r="C327" s="10" t="n">
        <f aca="false">'PM Hypothetical assumptions'!B38</f>
        <v>300</v>
      </c>
    </row>
    <row r="328" customFormat="false" ht="18" hidden="false" customHeight="false" outlineLevel="0" collapsed="false">
      <c r="A328" s="19" t="s">
        <v>500</v>
      </c>
      <c r="C328" s="10" t="n">
        <f aca="false">'PM Hypothetical assumptions'!B38</f>
        <v>300</v>
      </c>
    </row>
    <row r="329" customFormat="false" ht="18" hidden="false" customHeight="false" outlineLevel="0" collapsed="false">
      <c r="A329" s="19" t="s">
        <v>501</v>
      </c>
      <c r="C329" s="10" t="n">
        <f aca="false">'PM Hypothetical assumptions'!B32</f>
        <v>150</v>
      </c>
    </row>
    <row r="330" customFormat="false" ht="18" hidden="false" customHeight="false" outlineLevel="0" collapsed="false">
      <c r="A330" s="19" t="s">
        <v>502</v>
      </c>
      <c r="C330" s="10" t="n">
        <f aca="false">'PM Hypothetical assumptions'!B32</f>
        <v>150</v>
      </c>
    </row>
    <row r="331" customFormat="false" ht="18" hidden="false" customHeight="false" outlineLevel="0" collapsed="false">
      <c r="A331" s="19" t="s">
        <v>503</v>
      </c>
      <c r="C331" s="10" t="n">
        <f aca="false">'PM Hypothetical assumptions'!B32</f>
        <v>150</v>
      </c>
    </row>
    <row r="332" customFormat="false" ht="18" hidden="false" customHeight="false" outlineLevel="0" collapsed="false">
      <c r="A332" s="19" t="s">
        <v>504</v>
      </c>
      <c r="C332" s="10" t="n">
        <f aca="false">'PM Hypothetical assumptions'!B40</f>
        <v>65</v>
      </c>
    </row>
    <row r="333" customFormat="false" ht="18" hidden="false" customHeight="false" outlineLevel="0" collapsed="false">
      <c r="A333" s="19" t="s">
        <v>505</v>
      </c>
      <c r="C333" s="10" t="n">
        <f aca="false">'PM Hypothetical assumptions'!B40</f>
        <v>65</v>
      </c>
    </row>
    <row r="334" customFormat="false" ht="18" hidden="false" customHeight="false" outlineLevel="0" collapsed="false">
      <c r="A334" s="19" t="s">
        <v>506</v>
      </c>
      <c r="C334" s="10" t="n">
        <f aca="false">'PM Hypothetical assumptions'!B40</f>
        <v>65</v>
      </c>
    </row>
    <row r="335" customFormat="false" ht="18" hidden="false" customHeight="false" outlineLevel="0" collapsed="false">
      <c r="A335" s="19" t="s">
        <v>507</v>
      </c>
      <c r="C335" s="10" t="n">
        <f aca="false">'PM Hypothetical assumptions'!B30</f>
        <v>60</v>
      </c>
    </row>
    <row r="336" customFormat="false" ht="18" hidden="false" customHeight="false" outlineLevel="0" collapsed="false">
      <c r="A336" s="19" t="s">
        <v>508</v>
      </c>
      <c r="C336" s="10" t="n">
        <f aca="false">'PM Hypothetical assumptions'!B30</f>
        <v>60</v>
      </c>
    </row>
    <row r="337" customFormat="false" ht="18" hidden="false" customHeight="false" outlineLevel="0" collapsed="false">
      <c r="A337" s="19" t="s">
        <v>509</v>
      </c>
      <c r="C337" s="10" t="n">
        <f aca="false">'PM Hypothetical assumptions'!B30</f>
        <v>60</v>
      </c>
    </row>
    <row r="338" customFormat="false" ht="18" hidden="false" customHeight="false" outlineLevel="0" collapsed="false">
      <c r="A338" s="19" t="s">
        <v>510</v>
      </c>
      <c r="C338" s="10" t="n">
        <f aca="false">'PM Hypothetical assumptions'!B33</f>
        <v>30</v>
      </c>
    </row>
    <row r="339" customFormat="false" ht="18" hidden="false" customHeight="false" outlineLevel="0" collapsed="false">
      <c r="A339" s="19" t="s">
        <v>511</v>
      </c>
      <c r="C339" s="10" t="n">
        <f aca="false">'PM Hypothetical assumptions'!B33</f>
        <v>30</v>
      </c>
    </row>
    <row r="340" customFormat="false" ht="18" hidden="false" customHeight="false" outlineLevel="0" collapsed="false">
      <c r="A340" s="19" t="s">
        <v>512</v>
      </c>
      <c r="C340" s="10" t="n">
        <f aca="false">'PM Hypothetical assumptions'!B33</f>
        <v>30</v>
      </c>
    </row>
    <row r="341" customFormat="false" ht="18" hidden="false" customHeight="false" outlineLevel="0" collapsed="false">
      <c r="A341" s="19" t="s">
        <v>513</v>
      </c>
      <c r="C341" s="11" t="n">
        <f aca="false">'PM Hypothetical assumptions'!B27</f>
        <v>25</v>
      </c>
    </row>
    <row r="342" customFormat="false" ht="18" hidden="false" customHeight="false" outlineLevel="0" collapsed="false">
      <c r="A342" s="19" t="s">
        <v>514</v>
      </c>
      <c r="C342" s="11" t="n">
        <f aca="false">'PM Hypothetical assumptions'!B27</f>
        <v>25</v>
      </c>
    </row>
    <row r="343" customFormat="false" ht="18" hidden="false" customHeight="false" outlineLevel="0" collapsed="false">
      <c r="A343" s="19" t="s">
        <v>515</v>
      </c>
      <c r="C343" s="11" t="n">
        <f aca="false">'PM Hypothetical assumptions'!B27</f>
        <v>25</v>
      </c>
    </row>
    <row r="344" customFormat="false" ht="18" hidden="false" customHeight="false" outlineLevel="0" collapsed="false">
      <c r="A344" s="19" t="s">
        <v>516</v>
      </c>
      <c r="C344" s="10" t="n">
        <f aca="false">'PM Hypothetical assumptions'!B35</f>
        <v>600</v>
      </c>
    </row>
    <row r="345" customFormat="false" ht="18" hidden="false" customHeight="false" outlineLevel="0" collapsed="false">
      <c r="A345" s="19" t="s">
        <v>517</v>
      </c>
      <c r="C345" s="10" t="n">
        <f aca="false">'PM Hypothetical assumptions'!B35</f>
        <v>600</v>
      </c>
    </row>
    <row r="346" customFormat="false" ht="18" hidden="false" customHeight="false" outlineLevel="0" collapsed="false">
      <c r="A346" s="19" t="s">
        <v>518</v>
      </c>
      <c r="C346" s="10" t="n">
        <f aca="false">'PM Hypothetical assumptions'!B35</f>
        <v>600</v>
      </c>
    </row>
    <row r="347" customFormat="false" ht="18" hidden="false" customHeight="false" outlineLevel="0" collapsed="false">
      <c r="A347" s="19" t="s">
        <v>519</v>
      </c>
      <c r="C347" s="10" t="n">
        <f aca="false">'PM Hypothetical assumptions'!B37</f>
        <v>150</v>
      </c>
    </row>
    <row r="348" customFormat="false" ht="18" hidden="false" customHeight="false" outlineLevel="0" collapsed="false">
      <c r="A348" s="19" t="s">
        <v>520</v>
      </c>
      <c r="C348" s="10" t="n">
        <f aca="false">'PM Hypothetical assumptions'!B37</f>
        <v>150</v>
      </c>
    </row>
    <row r="349" customFormat="false" ht="18" hidden="false" customHeight="false" outlineLevel="0" collapsed="false">
      <c r="A349" s="19" t="s">
        <v>521</v>
      </c>
      <c r="C349" s="10" t="n">
        <f aca="false">'PM Hypothetical assumptions'!B37</f>
        <v>150</v>
      </c>
    </row>
    <row r="350" customFormat="false" ht="18" hidden="false" customHeight="false" outlineLevel="0" collapsed="false">
      <c r="A350" s="19" t="s">
        <v>522</v>
      </c>
      <c r="C350" s="10" t="n">
        <f aca="false">'PM Hypothetical assumptions'!B31</f>
        <v>75</v>
      </c>
    </row>
    <row r="351" customFormat="false" ht="18" hidden="false" customHeight="false" outlineLevel="0" collapsed="false">
      <c r="A351" s="19" t="s">
        <v>523</v>
      </c>
      <c r="C351" s="10" t="n">
        <f aca="false">'PM Hypothetical assumptions'!B31</f>
        <v>75</v>
      </c>
    </row>
    <row r="352" customFormat="false" ht="18" hidden="false" customHeight="false" outlineLevel="0" collapsed="false">
      <c r="A352" s="19" t="s">
        <v>524</v>
      </c>
      <c r="C352" s="10" t="n">
        <f aca="false">'PM Hypothetical assumptions'!B31</f>
        <v>75</v>
      </c>
    </row>
    <row r="353" customFormat="false" ht="18" hidden="false" customHeight="false" outlineLevel="0" collapsed="false">
      <c r="A353" s="19" t="s">
        <v>525</v>
      </c>
      <c r="C353" s="10" t="n">
        <f aca="false">'PM Hypothetical assumptions'!B39</f>
        <v>40</v>
      </c>
    </row>
    <row r="354" customFormat="false" ht="18" hidden="false" customHeight="false" outlineLevel="0" collapsed="false">
      <c r="A354" s="19" t="s">
        <v>526</v>
      </c>
      <c r="C354" s="10" t="n">
        <f aca="false">'PM Hypothetical assumptions'!B39</f>
        <v>40</v>
      </c>
    </row>
    <row r="355" customFormat="false" ht="18" hidden="false" customHeight="false" outlineLevel="0" collapsed="false">
      <c r="A355" s="19" t="s">
        <v>527</v>
      </c>
      <c r="C355" s="10" t="n">
        <f aca="false">'PM Hypothetical assumptions'!B39</f>
        <v>40</v>
      </c>
    </row>
    <row r="356" customFormat="false" ht="18" hidden="false" customHeight="false" outlineLevel="0" collapsed="false">
      <c r="A356" s="19" t="s">
        <v>528</v>
      </c>
      <c r="C356" s="10" t="n">
        <f aca="false">'PM Hypothetical assumptions'!B29</f>
        <v>45</v>
      </c>
    </row>
    <row r="357" customFormat="false" ht="18" hidden="false" customHeight="false" outlineLevel="0" collapsed="false">
      <c r="A357" s="19" t="s">
        <v>529</v>
      </c>
      <c r="C357" s="10" t="n">
        <f aca="false">'PM Hypothetical assumptions'!B29</f>
        <v>45</v>
      </c>
    </row>
    <row r="358" customFormat="false" ht="18" hidden="false" customHeight="false" outlineLevel="0" collapsed="false">
      <c r="A358" s="19" t="s">
        <v>530</v>
      </c>
      <c r="C358" s="10" t="n">
        <f aca="false">'PM Hypothetical assumptions'!B29</f>
        <v>45</v>
      </c>
    </row>
    <row r="359" customFormat="false" ht="18" hidden="false" customHeight="false" outlineLevel="0" collapsed="false">
      <c r="A359" s="19" t="s">
        <v>531</v>
      </c>
      <c r="C359" s="10" t="n">
        <f aca="false">'Model inputs'!B180+'Model inputs'!B183+'Model inputs'!B179+'Model inputs'!B178</f>
        <v>10.315</v>
      </c>
    </row>
    <row r="360" customFormat="false" ht="18" hidden="false" customHeight="false" outlineLevel="0" collapsed="false">
      <c r="A360" s="19" t="s">
        <v>532</v>
      </c>
      <c r="C360" s="10" t="n">
        <f aca="false">'Model inputs'!B259+'Model inputs'!B265+'Model inputs'!B257+'Model inputs'!B255</f>
        <v>10.315</v>
      </c>
    </row>
    <row r="361" customFormat="false" ht="18" hidden="false" customHeight="false" outlineLevel="0" collapsed="false">
      <c r="A361" s="19" t="s">
        <v>533</v>
      </c>
      <c r="C361" s="10" t="n">
        <f aca="false">'Model inputs'!B260+'Model inputs'!B266+'Model inputs'!B258+'Model inputs'!B256</f>
        <v>10.315</v>
      </c>
    </row>
    <row r="362" customFormat="false" ht="18" hidden="false" customHeight="false" outlineLevel="0" collapsed="false">
      <c r="A362" s="19" t="s">
        <v>534</v>
      </c>
      <c r="C362" s="10" t="n">
        <f aca="false">'Model inputs'!B180+'Model inputs'!B183+'Model inputs'!B182+'Model inputs'!B181</f>
        <v>7.465</v>
      </c>
    </row>
    <row r="363" customFormat="false" ht="18" hidden="false" customHeight="false" outlineLevel="0" collapsed="false">
      <c r="A363" s="19" t="s">
        <v>535</v>
      </c>
      <c r="C363" s="10" t="n">
        <f aca="false">'Model inputs'!B259+'Model inputs'!B265+'Model inputs'!B263+'Model inputs'!B261</f>
        <v>7.465</v>
      </c>
    </row>
    <row r="364" customFormat="false" ht="18" hidden="false" customHeight="false" outlineLevel="0" collapsed="false">
      <c r="A364" s="19" t="s">
        <v>536</v>
      </c>
      <c r="C364" s="10" t="n">
        <f aca="false">'Model inputs'!B260+'Model inputs'!B266+'Model inputs'!B264+'Model inputs'!B262</f>
        <v>7.465</v>
      </c>
    </row>
    <row r="365" customFormat="false" ht="18" hidden="false" customHeight="false" outlineLevel="0" collapsed="false">
      <c r="A365" s="19" t="s">
        <v>537</v>
      </c>
      <c r="C365" s="11" t="n">
        <f aca="false">'Model inputs'!B6*'Model inputs'!B113</f>
        <v>0</v>
      </c>
    </row>
    <row r="366" customFormat="false" ht="18" hidden="false" customHeight="false" outlineLevel="0" collapsed="false">
      <c r="A366" s="19" t="s">
        <v>538</v>
      </c>
      <c r="C366" s="11" t="n">
        <f aca="false">'Model inputs'!B7*'Model inputs'!B114</f>
        <v>3</v>
      </c>
    </row>
    <row r="367" customFormat="false" ht="18" hidden="false" customHeight="false" outlineLevel="0" collapsed="false">
      <c r="A367" s="19" t="s">
        <v>539</v>
      </c>
      <c r="C367" s="11" t="n">
        <f aca="false">'Model inputs'!B8*'Model inputs'!B115</f>
        <v>15</v>
      </c>
    </row>
    <row r="368" customFormat="false" ht="18" hidden="false" customHeight="false" outlineLevel="0" collapsed="false">
      <c r="A368" s="19" t="s">
        <v>540</v>
      </c>
      <c r="C368" s="9" t="n">
        <f aca="false">'PM Hypothetical assumptions'!B15</f>
        <v>0.03</v>
      </c>
    </row>
    <row r="369" customFormat="false" ht="18" hidden="false" customHeight="false" outlineLevel="0" collapsed="false">
      <c r="A369" s="19" t="s">
        <v>541</v>
      </c>
      <c r="C369" s="9" t="n">
        <f aca="false">'PM Hypothetical assumptions'!B15</f>
        <v>0.03</v>
      </c>
    </row>
    <row r="370" customFormat="false" ht="18" hidden="false" customHeight="false" outlineLevel="0" collapsed="false">
      <c r="A370" s="19" t="s">
        <v>542</v>
      </c>
      <c r="C370" s="9" t="n">
        <f aca="false">'PM Hypothetical assumptions'!B15</f>
        <v>0.03</v>
      </c>
    </row>
    <row r="371" customFormat="false" ht="18" hidden="false" customHeight="false" outlineLevel="0" collapsed="false">
      <c r="A371" s="19" t="s">
        <v>543</v>
      </c>
      <c r="C371" s="10" t="n">
        <f aca="false">'Model inputs'!B23*(1-'Model inputs'!B140)+'Model inputs'!B53*'Model inputs'!B140</f>
        <v>1.2</v>
      </c>
    </row>
    <row r="372" customFormat="false" ht="18" hidden="false" customHeight="false" outlineLevel="0" collapsed="false">
      <c r="A372" s="19" t="s">
        <v>544</v>
      </c>
      <c r="C372" s="10" t="n">
        <f aca="false">'Model inputs'!B24*(1-'Model inputs'!B141)+'Model inputs'!B54*'Model inputs'!B141</f>
        <v>1.2</v>
      </c>
    </row>
    <row r="373" customFormat="false" ht="18" hidden="false" customHeight="false" outlineLevel="0" collapsed="false">
      <c r="A373" s="19" t="s">
        <v>545</v>
      </c>
      <c r="C373" s="10" t="n">
        <f aca="false">'Model inputs'!B25*(1-'Model inputs'!B142)+'Model inputs'!B55*'Model inputs'!B142</f>
        <v>1.2</v>
      </c>
    </row>
    <row r="374" customFormat="false" ht="18" hidden="false" customHeight="false" outlineLevel="0" collapsed="false">
      <c r="A374" s="19" t="s">
        <v>546</v>
      </c>
      <c r="C374" s="10" t="n">
        <f aca="false">('Model inputs'!B26*(1-'Model inputs'!B140)+'Model inputs'!B56*'Model inputs'!B140)*'Model inputs'!B131</f>
        <v>6</v>
      </c>
    </row>
    <row r="375" customFormat="false" ht="18" hidden="false" customHeight="false" outlineLevel="0" collapsed="false">
      <c r="A375" s="19" t="s">
        <v>547</v>
      </c>
      <c r="C375" s="10" t="n">
        <f aca="false">('Model inputs'!B27*(1-'Model inputs'!B141)+'Model inputs'!B57*'Model inputs'!B141)*'Model inputs'!B132</f>
        <v>6</v>
      </c>
    </row>
    <row r="376" customFormat="false" ht="18" hidden="false" customHeight="false" outlineLevel="0" collapsed="false">
      <c r="A376" s="19" t="s">
        <v>548</v>
      </c>
      <c r="C376" s="10" t="n">
        <f aca="false">('Model inputs'!B28*(1-'Model inputs'!B142)+'Model inputs'!B58*'Model inputs'!B142)*'Model inputs'!B133</f>
        <v>6</v>
      </c>
    </row>
    <row r="377" customFormat="false" ht="18" hidden="false" customHeight="false" outlineLevel="0" collapsed="false">
      <c r="A377" s="19" t="s">
        <v>549</v>
      </c>
      <c r="C377" s="11" t="n">
        <f aca="false">'Model inputs'!B184*'Model inputs'!B122</f>
        <v>1.8</v>
      </c>
    </row>
    <row r="378" customFormat="false" ht="18" hidden="false" customHeight="false" outlineLevel="0" collapsed="false">
      <c r="A378" s="19" t="s">
        <v>550</v>
      </c>
      <c r="C378" s="11" t="n">
        <f aca="false">'Model inputs'!B267*'Model inputs'!B123</f>
        <v>1.8</v>
      </c>
    </row>
    <row r="379" customFormat="false" ht="18" hidden="false" customHeight="false" outlineLevel="0" collapsed="false">
      <c r="A379" s="19" t="s">
        <v>551</v>
      </c>
      <c r="C379" s="11" t="n">
        <f aca="false">'Model inputs'!B268*'Model inputs'!B124</f>
        <v>1.8</v>
      </c>
    </row>
    <row r="380" customFormat="false" ht="18" hidden="false" customHeight="false" outlineLevel="0" collapsed="false">
      <c r="A380" s="19" t="s">
        <v>552</v>
      </c>
      <c r="C380" s="10" t="n">
        <f aca="false">'Model inputs'!B77*(1-'Model inputs'!B140)+'Model inputs'!B107*'Model inputs'!B140</f>
        <v>0.35</v>
      </c>
    </row>
    <row r="381" customFormat="false" ht="18" hidden="false" customHeight="false" outlineLevel="0" collapsed="false">
      <c r="A381" s="19" t="s">
        <v>553</v>
      </c>
      <c r="C381" s="10" t="n">
        <f aca="false">'Model inputs'!B78*(1-'Model inputs'!B141)+'Model inputs'!B108*'Model inputs'!B141</f>
        <v>0.35</v>
      </c>
    </row>
    <row r="382" customFormat="false" ht="18" hidden="false" customHeight="false" outlineLevel="0" collapsed="false">
      <c r="A382" s="19" t="s">
        <v>554</v>
      </c>
      <c r="C382" s="10" t="n">
        <f aca="false">'Model inputs'!B79*(1-'Model inputs'!B142)+'Model inputs'!B109*'Model inputs'!B142</f>
        <v>0.35</v>
      </c>
    </row>
    <row r="383" customFormat="false" ht="18" hidden="false" customHeight="false" outlineLevel="0" collapsed="false">
      <c r="A383" s="19" t="s">
        <v>555</v>
      </c>
      <c r="C383" s="10" t="n">
        <f aca="false">('Model inputs'!B80*(1-'Model inputs'!B140)+'Model inputs'!B110*'Model inputs'!B140)*'Model inputs'!B131</f>
        <v>4</v>
      </c>
    </row>
    <row r="384" customFormat="false" ht="18" hidden="false" customHeight="false" outlineLevel="0" collapsed="false">
      <c r="A384" s="19" t="s">
        <v>556</v>
      </c>
      <c r="C384" s="10" t="n">
        <f aca="false">('Model inputs'!B81*(1-'Model inputs'!B141)+'Model inputs'!B111*'Model inputs'!B141)*'Model inputs'!B132</f>
        <v>4</v>
      </c>
    </row>
    <row r="385" customFormat="false" ht="18" hidden="false" customHeight="false" outlineLevel="0" collapsed="false">
      <c r="A385" s="19" t="s">
        <v>557</v>
      </c>
      <c r="C385" s="10" t="n">
        <f aca="false">('Model inputs'!B82*(1-'Model inputs'!B142)+'Model inputs'!B112*'Model inputs'!B142)*'Model inputs'!B133</f>
        <v>4</v>
      </c>
    </row>
    <row r="386" customFormat="false" ht="18" hidden="false" customHeight="false" outlineLevel="0" collapsed="false">
      <c r="A386" s="19" t="s">
        <v>558</v>
      </c>
      <c r="C386" s="11" t="n">
        <f aca="false">'Model inputs'!B165*'Model inputs'!B119+'Model inputs'!B116</f>
        <v>1.315</v>
      </c>
    </row>
    <row r="387" customFormat="false" ht="18" hidden="false" customHeight="false" outlineLevel="0" collapsed="false">
      <c r="A387" s="19" t="s">
        <v>559</v>
      </c>
      <c r="C387" s="11" t="n">
        <f aca="false">'Model inputs'!B166*'Model inputs'!B120+'Model inputs'!B117</f>
        <v>1.315</v>
      </c>
    </row>
    <row r="388" customFormat="false" ht="18" hidden="false" customHeight="false" outlineLevel="0" collapsed="false">
      <c r="A388" s="19" t="s">
        <v>560</v>
      </c>
      <c r="C388" s="11" t="n">
        <f aca="false">'Model inputs'!B167*'Model inputs'!B121+'Model inputs'!B118</f>
        <v>1.315</v>
      </c>
    </row>
    <row r="389" customFormat="false" ht="18" hidden="false" customHeight="false" outlineLevel="0" collapsed="false">
      <c r="A389" s="19" t="s">
        <v>561</v>
      </c>
      <c r="C389" s="10" t="n">
        <f aca="false">'PM Hypothetical assumptions'!B25</f>
        <v>0.75</v>
      </c>
    </row>
    <row r="390" customFormat="false" ht="18" hidden="false" customHeight="false" outlineLevel="0" collapsed="false">
      <c r="A390" s="19" t="s">
        <v>562</v>
      </c>
      <c r="C390" s="10" t="n">
        <f aca="false">'PM Hypothetical assumptions'!B25</f>
        <v>0.75</v>
      </c>
    </row>
    <row r="391" customFormat="false" ht="18" hidden="false" customHeight="false" outlineLevel="0" collapsed="false">
      <c r="A391" s="19" t="s">
        <v>563</v>
      </c>
      <c r="C391" s="10" t="n">
        <f aca="false">'PM Hypothetical assumptions'!B25</f>
        <v>0.75</v>
      </c>
    </row>
    <row r="392" customFormat="false" ht="18" hidden="false" customHeight="false" outlineLevel="0" collapsed="false">
      <c r="A392" s="19" t="s">
        <v>564</v>
      </c>
      <c r="C392" s="11" t="n">
        <f aca="false">'PM Hypothetical assumptions'!B21</f>
        <v>0.15</v>
      </c>
    </row>
    <row r="393" customFormat="false" ht="18" hidden="false" customHeight="false" outlineLevel="0" collapsed="false">
      <c r="A393" s="19" t="s">
        <v>565</v>
      </c>
      <c r="C393" s="11" t="n">
        <f aca="false">'PM Hypothetical assumptions'!B21</f>
        <v>0.15</v>
      </c>
    </row>
    <row r="394" customFormat="false" ht="18" hidden="false" customHeight="false" outlineLevel="0" collapsed="false">
      <c r="A394" s="19" t="s">
        <v>566</v>
      </c>
      <c r="C394" s="11" t="n">
        <f aca="false">'PM Hypothetical assumptions'!B21</f>
        <v>0.15</v>
      </c>
    </row>
    <row r="395" customFormat="false" ht="18" hidden="false" customHeight="false" outlineLevel="0" collapsed="false">
      <c r="A395" s="19" t="s">
        <v>567</v>
      </c>
      <c r="C395" s="10" t="n">
        <f aca="false">'PM Hypothetical assumptions'!B26</f>
        <v>3</v>
      </c>
    </row>
    <row r="396" customFormat="false" ht="18" hidden="false" customHeight="false" outlineLevel="0" collapsed="false">
      <c r="A396" s="19" t="s">
        <v>568</v>
      </c>
      <c r="C396" s="10" t="n">
        <f aca="false">'PM Hypothetical assumptions'!B26</f>
        <v>3</v>
      </c>
    </row>
    <row r="397" customFormat="false" ht="18" hidden="false" customHeight="false" outlineLevel="0" collapsed="false">
      <c r="A397" s="19" t="s">
        <v>569</v>
      </c>
      <c r="C397" s="10" t="n">
        <f aca="false">'PM Hypothetical assumptions'!B26</f>
        <v>3</v>
      </c>
    </row>
    <row r="398" customFormat="false" ht="18" hidden="false" customHeight="false" outlineLevel="0" collapsed="false">
      <c r="A398" s="19" t="s">
        <v>570</v>
      </c>
      <c r="C398" s="11" t="n">
        <f aca="false">'PM Hypothetical assumptions'!B22</f>
        <v>0.6</v>
      </c>
    </row>
    <row r="399" customFormat="false" ht="18" hidden="false" customHeight="false" outlineLevel="0" collapsed="false">
      <c r="A399" s="19" t="s">
        <v>571</v>
      </c>
      <c r="C399" s="11" t="n">
        <f aca="false">'PM Hypothetical assumptions'!B22</f>
        <v>0.6</v>
      </c>
    </row>
    <row r="400" customFormat="false" ht="18" hidden="false" customHeight="false" outlineLevel="0" collapsed="false">
      <c r="A400" s="19" t="s">
        <v>572</v>
      </c>
      <c r="C400" s="11" t="n">
        <f aca="false">'PM Hypothetical assumptions'!B22</f>
        <v>0.6</v>
      </c>
    </row>
    <row r="401" customFormat="false" ht="18" hidden="false" customHeight="false" outlineLevel="0" collapsed="false">
      <c r="A401" s="19" t="s">
        <v>573</v>
      </c>
      <c r="C401" s="10" t="n">
        <f aca="false">'PM Hypothetical assumptions'!B23</f>
        <v>0.25</v>
      </c>
    </row>
    <row r="402" customFormat="false" ht="18" hidden="false" customHeight="false" outlineLevel="0" collapsed="false">
      <c r="A402" s="19" t="s">
        <v>574</v>
      </c>
      <c r="C402" s="10" t="n">
        <f aca="false">'PM Hypothetical assumptions'!B23</f>
        <v>0.25</v>
      </c>
    </row>
    <row r="403" customFormat="false" ht="18" hidden="false" customHeight="false" outlineLevel="0" collapsed="false">
      <c r="A403" s="19" t="s">
        <v>575</v>
      </c>
      <c r="C403" s="10" t="n">
        <f aca="false">'PM Hypothetical assumptions'!B23</f>
        <v>0.25</v>
      </c>
    </row>
    <row r="404" customFormat="false" ht="18" hidden="false" customHeight="false" outlineLevel="0" collapsed="false">
      <c r="A404" s="19" t="s">
        <v>576</v>
      </c>
      <c r="C404" s="11" t="n">
        <f aca="false">'PM Hypothetical assumptions'!B19</f>
        <v>0.1</v>
      </c>
    </row>
    <row r="405" customFormat="false" ht="18" hidden="false" customHeight="false" outlineLevel="0" collapsed="false">
      <c r="A405" s="19" t="s">
        <v>577</v>
      </c>
      <c r="C405" s="11" t="n">
        <f aca="false">'PM Hypothetical assumptions'!B19</f>
        <v>0.1</v>
      </c>
    </row>
    <row r="406" customFormat="false" ht="18" hidden="false" customHeight="false" outlineLevel="0" collapsed="false">
      <c r="A406" s="19" t="s">
        <v>578</v>
      </c>
      <c r="C406" s="11" t="n">
        <f aca="false">'PM Hypothetical assumptions'!B19</f>
        <v>0.1</v>
      </c>
    </row>
    <row r="407" customFormat="false" ht="18" hidden="false" customHeight="false" outlineLevel="0" collapsed="false">
      <c r="A407" s="19" t="s">
        <v>579</v>
      </c>
      <c r="C407" s="10" t="n">
        <f aca="false">'PM Hypothetical assumptions'!B24</f>
        <v>0.75</v>
      </c>
    </row>
    <row r="408" customFormat="false" ht="18" hidden="false" customHeight="false" outlineLevel="0" collapsed="false">
      <c r="A408" s="19" t="s">
        <v>580</v>
      </c>
      <c r="C408" s="10" t="n">
        <f aca="false">'PM Hypothetical assumptions'!B24</f>
        <v>0.75</v>
      </c>
    </row>
    <row r="409" customFormat="false" ht="18" hidden="false" customHeight="false" outlineLevel="0" collapsed="false">
      <c r="A409" s="19" t="s">
        <v>581</v>
      </c>
      <c r="C409" s="10" t="n">
        <f aca="false">'PM Hypothetical assumptions'!B24</f>
        <v>0.75</v>
      </c>
    </row>
    <row r="410" customFormat="false" ht="18" hidden="false" customHeight="false" outlineLevel="0" collapsed="false">
      <c r="A410" s="19" t="s">
        <v>582</v>
      </c>
      <c r="C410" s="11" t="n">
        <f aca="false">'PM Hypothetical assumptions'!B20</f>
        <v>0.4</v>
      </c>
    </row>
    <row r="411" customFormat="false" ht="18" hidden="false" customHeight="false" outlineLevel="0" collapsed="false">
      <c r="A411" s="19" t="s">
        <v>583</v>
      </c>
      <c r="C411" s="11" t="n">
        <f aca="false">'PM Hypothetical assumptions'!B20</f>
        <v>0.4</v>
      </c>
    </row>
    <row r="412" customFormat="false" ht="18" hidden="false" customHeight="false" outlineLevel="0" collapsed="false">
      <c r="A412" s="19" t="s">
        <v>584</v>
      </c>
      <c r="C412" s="11" t="n">
        <f aca="false">'PM Hypothetical assumptions'!B20</f>
        <v>0.4</v>
      </c>
    </row>
    <row r="413" customFormat="false" ht="18" hidden="false" customHeight="false" outlineLevel="0" collapsed="false">
      <c r="A413" s="19" t="s">
        <v>585</v>
      </c>
      <c r="C413" s="11" t="n">
        <f aca="false">'PM Hypothetical assumptions'!B17</f>
        <v>0.3</v>
      </c>
    </row>
    <row r="414" customFormat="false" ht="18" hidden="false" customHeight="false" outlineLevel="0" collapsed="false">
      <c r="A414" s="19" t="s">
        <v>586</v>
      </c>
      <c r="C414" s="11" t="n">
        <f aca="false">'PM Hypothetical assumptions'!B17</f>
        <v>0.3</v>
      </c>
    </row>
    <row r="415" customFormat="false" ht="18" hidden="false" customHeight="false" outlineLevel="0" collapsed="false">
      <c r="A415" s="19" t="s">
        <v>587</v>
      </c>
      <c r="C415" s="11" t="n">
        <f aca="false">'PM Hypothetical assumptions'!B17</f>
        <v>0.3</v>
      </c>
    </row>
    <row r="416" customFormat="false" ht="18" hidden="false" customHeight="false" outlineLevel="0" collapsed="false">
      <c r="A416" s="19" t="s">
        <v>588</v>
      </c>
      <c r="C416" s="9" t="n">
        <f aca="false">'PM Hypothetical assumptions'!B16</f>
        <v>0.029</v>
      </c>
    </row>
    <row r="417" customFormat="false" ht="18" hidden="false" customHeight="false" outlineLevel="0" collapsed="false">
      <c r="A417" s="19" t="s">
        <v>589</v>
      </c>
      <c r="C417" s="9" t="n">
        <f aca="false">'PM Hypothetical assumptions'!B16</f>
        <v>0.029</v>
      </c>
    </row>
    <row r="418" customFormat="false" ht="18" hidden="false" customHeight="false" outlineLevel="0" collapsed="false">
      <c r="A418" s="19" t="s">
        <v>590</v>
      </c>
      <c r="C418" s="9" t="n">
        <f aca="false">'PM Hypothetical assumptions'!B16</f>
        <v>0.029</v>
      </c>
    </row>
    <row r="419" customFormat="false" ht="18" hidden="false" customHeight="false" outlineLevel="0" collapsed="false">
      <c r="A419" s="19" t="s">
        <v>591</v>
      </c>
      <c r="C419" s="10" t="n">
        <f aca="false">'PM Hypothetical assumptions'!B12</f>
        <v>0.05</v>
      </c>
    </row>
    <row r="420" customFormat="false" ht="18" hidden="false" customHeight="false" outlineLevel="0" collapsed="false">
      <c r="A420" s="19" t="s">
        <v>592</v>
      </c>
      <c r="C420" s="10" t="n">
        <f aca="false">'Model inputs'!B123</f>
        <v>0.05</v>
      </c>
    </row>
    <row r="421" customFormat="false" ht="18" hidden="false" customHeight="false" outlineLevel="0" collapsed="false">
      <c r="A421" s="19" t="s">
        <v>593</v>
      </c>
      <c r="C421" s="10" t="n">
        <f aca="false">'PM Hypothetical assumptions'!B12</f>
        <v>0.05</v>
      </c>
    </row>
    <row r="422" customFormat="false" ht="18" hidden="false" customHeight="false" outlineLevel="0" collapsed="false">
      <c r="A422" s="19" t="s">
        <v>594</v>
      </c>
      <c r="C422" s="10" t="n">
        <f aca="false">'PM Hypothetical assumptions'!B18</f>
        <v>25</v>
      </c>
    </row>
    <row r="423" customFormat="false" ht="18" hidden="false" customHeight="false" outlineLevel="0" collapsed="false">
      <c r="A423" s="19" t="s">
        <v>595</v>
      </c>
      <c r="C423" s="10" t="n">
        <f aca="false">'PM Hypothetical assumptions'!B18</f>
        <v>25</v>
      </c>
    </row>
    <row r="424" customFormat="false" ht="18" hidden="false" customHeight="false" outlineLevel="0" collapsed="false">
      <c r="A424" s="19" t="s">
        <v>596</v>
      </c>
      <c r="C424" s="10" t="n">
        <f aca="false">'PM Hypothetical assumptions'!B18</f>
        <v>25</v>
      </c>
    </row>
    <row r="425" customFormat="false" ht="18" hidden="false" customHeight="false" outlineLevel="0" collapsed="false">
      <c r="A425" s="19" t="s">
        <v>597</v>
      </c>
      <c r="C425" s="11" t="n">
        <f aca="false">'Model inputs'!B62*(1-'Model inputs'!B140)+'Model inputs'!B137*'Model inputs'!B140</f>
        <v>36</v>
      </c>
    </row>
    <row r="426" customFormat="false" ht="18" hidden="false" customHeight="false" outlineLevel="0" collapsed="false">
      <c r="A426" s="19" t="s">
        <v>598</v>
      </c>
      <c r="C426" s="11" t="n">
        <f aca="false">'Model inputs'!B63*(1-'Model inputs'!B141)+'Model inputs'!B138*'Model inputs'!B141</f>
        <v>36</v>
      </c>
    </row>
    <row r="427" customFormat="false" ht="18" hidden="false" customHeight="false" outlineLevel="0" collapsed="false">
      <c r="A427" s="19" t="s">
        <v>599</v>
      </c>
      <c r="C427" s="11" t="n">
        <f aca="false">'Model inputs'!B64*(1-'Model inputs'!B142)+'Model inputs'!B139*'Model inputs'!B142</f>
        <v>36</v>
      </c>
    </row>
    <row r="428" customFormat="false" ht="18" hidden="false" customHeight="false" outlineLevel="0" collapsed="false">
      <c r="A428" s="19" t="s">
        <v>600</v>
      </c>
      <c r="C428" s="11" t="n">
        <f aca="false">'PM Hypothetical assumptions'!B9</f>
        <v>20</v>
      </c>
    </row>
    <row r="429" customFormat="false" ht="18" hidden="false" customHeight="false" outlineLevel="0" collapsed="false">
      <c r="A429" s="19" t="s">
        <v>601</v>
      </c>
      <c r="C429" s="11" t="n">
        <f aca="false">'PM Hypothetical assumptions'!B9</f>
        <v>20</v>
      </c>
    </row>
    <row r="430" customFormat="false" ht="18" hidden="false" customHeight="false" outlineLevel="0" collapsed="false">
      <c r="A430" s="19" t="s">
        <v>602</v>
      </c>
      <c r="C430" s="11" t="n">
        <f aca="false">'PM Hypothetical assumptions'!B9</f>
        <v>20</v>
      </c>
    </row>
    <row r="431" customFormat="false" ht="18" hidden="false" customHeight="false" outlineLevel="0" collapsed="false">
      <c r="A431" s="19" t="s">
        <v>603</v>
      </c>
      <c r="C431" s="11" t="n">
        <f aca="false">'PM Hypothetical assumptions'!B10</f>
        <v>100</v>
      </c>
    </row>
    <row r="432" customFormat="false" ht="18" hidden="false" customHeight="false" outlineLevel="0" collapsed="false">
      <c r="A432" s="19" t="s">
        <v>604</v>
      </c>
      <c r="C432" s="11" t="n">
        <f aca="false">'PM Hypothetical assumptions'!B10</f>
        <v>100</v>
      </c>
    </row>
    <row r="433" customFormat="false" ht="18" hidden="false" customHeight="false" outlineLevel="0" collapsed="false">
      <c r="A433" s="19" t="s">
        <v>605</v>
      </c>
      <c r="C433" s="11" t="n">
        <f aca="false">'PM Hypothetical assumptions'!B10</f>
        <v>100</v>
      </c>
    </row>
    <row r="435" customFormat="false" ht="18" hidden="false" customHeight="false" outlineLevel="0" collapsed="false">
      <c r="A435" s="18" t="s">
        <v>606</v>
      </c>
    </row>
    <row r="436" customFormat="false" ht="18" hidden="false" customHeight="false" outlineLevel="0" collapsed="false">
      <c r="A436" s="19" t="s">
        <v>607</v>
      </c>
      <c r="B436" s="22" t="s">
        <v>132</v>
      </c>
      <c r="C436" s="22" t="s">
        <v>133</v>
      </c>
      <c r="D436" s="22" t="s">
        <v>134</v>
      </c>
      <c r="E436" s="22" t="s">
        <v>135</v>
      </c>
      <c r="F436" s="22" t="s">
        <v>136</v>
      </c>
      <c r="G436" s="22" t="s">
        <v>137</v>
      </c>
    </row>
  </sheetData>
  <mergeCells count="2">
    <mergeCell ref="A1:X1"/>
    <mergeCell ref="A2:X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5" zeroHeight="false" outlineLevelRow="0" outlineLevelCol="0"/>
  <cols>
    <col collapsed="false" customWidth="true" hidden="false" outlineLevel="0" max="7" min="1" style="0" width="24"/>
  </cols>
  <sheetData>
    <row r="1" customFormat="false" ht="15" hidden="false" customHeight="false" outlineLevel="0" collapsed="false">
      <c r="A1" s="23" t="s">
        <v>608</v>
      </c>
      <c r="B1" s="23" t="s">
        <v>609</v>
      </c>
      <c r="C1" s="23" t="s">
        <v>610</v>
      </c>
      <c r="D1" s="23" t="s">
        <v>611</v>
      </c>
      <c r="E1" s="23" t="s">
        <v>612</v>
      </c>
      <c r="F1" s="23" t="s">
        <v>613</v>
      </c>
      <c r="G1" s="23" t="s">
        <v>614</v>
      </c>
    </row>
    <row r="2" customFormat="false" ht="15" hidden="false" customHeight="false" outlineLevel="0" collapsed="false">
      <c r="A2" s="0" t="n">
        <v>0</v>
      </c>
      <c r="B2" s="0" t="s">
        <v>615</v>
      </c>
      <c r="C2" s="0" t="s">
        <v>616</v>
      </c>
      <c r="D2" s="0" t="s">
        <v>617</v>
      </c>
      <c r="E2" s="0" t="s">
        <v>617</v>
      </c>
      <c r="F2" s="0" t="s">
        <v>618</v>
      </c>
      <c r="G2" s="0" t="s">
        <v>619</v>
      </c>
    </row>
    <row r="3" customFormat="false" ht="15" hidden="false" customHeight="false" outlineLevel="0" collapsed="false">
      <c r="A3" s="0" t="n">
        <v>0</v>
      </c>
      <c r="B3" s="0" t="s">
        <v>620</v>
      </c>
      <c r="C3" s="0" t="s">
        <v>616</v>
      </c>
      <c r="D3" s="0" t="s">
        <v>621</v>
      </c>
      <c r="E3" s="0" t="s">
        <v>621</v>
      </c>
      <c r="F3" s="0" t="s">
        <v>622</v>
      </c>
      <c r="G3" s="0" t="s">
        <v>623</v>
      </c>
    </row>
    <row r="4" customFormat="false" ht="15" hidden="false" customHeight="false" outlineLevel="0" collapsed="false">
      <c r="A4" s="0" t="n">
        <v>100</v>
      </c>
      <c r="B4" s="0" t="s">
        <v>615</v>
      </c>
      <c r="C4" s="0" t="s">
        <v>624</v>
      </c>
      <c r="D4" s="0" t="s">
        <v>625</v>
      </c>
      <c r="E4" s="0" t="s">
        <v>626</v>
      </c>
      <c r="F4" s="0" t="s">
        <v>627</v>
      </c>
      <c r="G4" s="0" t="s">
        <v>628</v>
      </c>
    </row>
    <row r="5" customFormat="false" ht="15" hidden="false" customHeight="false" outlineLevel="0" collapsed="false">
      <c r="A5" s="0" t="n">
        <v>100</v>
      </c>
      <c r="B5" s="0" t="s">
        <v>620</v>
      </c>
      <c r="C5" s="0" t="s">
        <v>624</v>
      </c>
      <c r="D5" s="0" t="s">
        <v>629</v>
      </c>
      <c r="E5" s="0" t="s">
        <v>630</v>
      </c>
      <c r="F5" s="0" t="s">
        <v>627</v>
      </c>
      <c r="G5" s="0" t="s">
        <v>631</v>
      </c>
    </row>
    <row r="6" customFormat="false" ht="15" hidden="false" customHeight="false" outlineLevel="0" collapsed="false">
      <c r="A6" s="0" t="n">
        <v>500</v>
      </c>
      <c r="B6" s="0" t="s">
        <v>615</v>
      </c>
      <c r="C6" s="0" t="s">
        <v>632</v>
      </c>
      <c r="D6" s="0" t="s">
        <v>633</v>
      </c>
      <c r="E6" s="0" t="s">
        <v>634</v>
      </c>
      <c r="F6" s="0" t="s">
        <v>627</v>
      </c>
      <c r="G6" s="0" t="s">
        <v>635</v>
      </c>
    </row>
    <row r="7" customFormat="false" ht="15" hidden="false" customHeight="false" outlineLevel="0" collapsed="false">
      <c r="A7" s="0" t="n">
        <v>500</v>
      </c>
      <c r="B7" s="0" t="s">
        <v>620</v>
      </c>
      <c r="C7" s="0" t="s">
        <v>632</v>
      </c>
      <c r="D7" s="0" t="s">
        <v>636</v>
      </c>
      <c r="E7" s="0" t="s">
        <v>637</v>
      </c>
      <c r="F7" s="0" t="s">
        <v>627</v>
      </c>
      <c r="G7" s="0" t="s">
        <v>638</v>
      </c>
    </row>
  </sheetData>
  <autoFilter ref="A1:G7"/>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5" zeroHeight="false" outlineLevelRow="0" outlineLevelCol="0"/>
  <cols>
    <col collapsed="false" customWidth="true" hidden="false" outlineLevel="0" max="7" min="1" style="0" width="24"/>
  </cols>
  <sheetData>
    <row r="1" customFormat="false" ht="15" hidden="false" customHeight="false" outlineLevel="0" collapsed="false">
      <c r="A1" s="23" t="s">
        <v>608</v>
      </c>
      <c r="B1" s="23" t="s">
        <v>639</v>
      </c>
      <c r="C1" s="23" t="s">
        <v>609</v>
      </c>
      <c r="D1" s="23" t="s">
        <v>640</v>
      </c>
      <c r="E1" s="23" t="s">
        <v>641</v>
      </c>
      <c r="F1" s="23" t="s">
        <v>642</v>
      </c>
      <c r="G1" s="23" t="s">
        <v>643</v>
      </c>
    </row>
    <row r="2" customFormat="false" ht="15" hidden="false" customHeight="false" outlineLevel="0" collapsed="false">
      <c r="A2" s="0" t="n">
        <v>0</v>
      </c>
      <c r="B2" s="0" t="s">
        <v>644</v>
      </c>
      <c r="C2" s="0" t="s">
        <v>615</v>
      </c>
      <c r="D2" s="0" t="s">
        <v>617</v>
      </c>
      <c r="E2" s="0" t="s">
        <v>618</v>
      </c>
      <c r="F2" s="0" t="s">
        <v>617</v>
      </c>
      <c r="G2" s="0" t="s">
        <v>618</v>
      </c>
    </row>
    <row r="3" customFormat="false" ht="15" hidden="false" customHeight="false" outlineLevel="0" collapsed="false">
      <c r="A3" s="0" t="n">
        <v>0</v>
      </c>
      <c r="B3" s="0" t="s">
        <v>644</v>
      </c>
      <c r="C3" s="0" t="s">
        <v>620</v>
      </c>
      <c r="D3" s="0" t="s">
        <v>621</v>
      </c>
      <c r="E3" s="0" t="s">
        <v>622</v>
      </c>
      <c r="F3" s="0" t="s">
        <v>621</v>
      </c>
      <c r="G3" s="0" t="s">
        <v>622</v>
      </c>
    </row>
    <row r="4" customFormat="false" ht="15" hidden="false" customHeight="false" outlineLevel="0" collapsed="false">
      <c r="A4" s="0" t="n">
        <v>0</v>
      </c>
      <c r="B4" s="0" t="s">
        <v>645</v>
      </c>
      <c r="C4" s="0" t="s">
        <v>615</v>
      </c>
      <c r="D4" s="0" t="s">
        <v>617</v>
      </c>
      <c r="E4" s="0" t="s">
        <v>618</v>
      </c>
      <c r="F4" s="0" t="s">
        <v>617</v>
      </c>
      <c r="G4" s="0" t="s">
        <v>618</v>
      </c>
    </row>
    <row r="5" customFormat="false" ht="15" hidden="false" customHeight="false" outlineLevel="0" collapsed="false">
      <c r="A5" s="0" t="n">
        <v>0</v>
      </c>
      <c r="B5" s="0" t="s">
        <v>645</v>
      </c>
      <c r="C5" s="0" t="s">
        <v>620</v>
      </c>
      <c r="D5" s="0" t="s">
        <v>621</v>
      </c>
      <c r="E5" s="0" t="s">
        <v>622</v>
      </c>
      <c r="F5" s="0" t="s">
        <v>621</v>
      </c>
      <c r="G5" s="0" t="s">
        <v>622</v>
      </c>
    </row>
    <row r="6" customFormat="false" ht="15" hidden="false" customHeight="false" outlineLevel="0" collapsed="false">
      <c r="A6" s="0" t="n">
        <v>0</v>
      </c>
      <c r="B6" s="0" t="s">
        <v>646</v>
      </c>
      <c r="C6" s="0" t="s">
        <v>615</v>
      </c>
      <c r="D6" s="0" t="s">
        <v>617</v>
      </c>
      <c r="E6" s="0" t="s">
        <v>618</v>
      </c>
      <c r="F6" s="0" t="s">
        <v>617</v>
      </c>
      <c r="G6" s="0" t="s">
        <v>618</v>
      </c>
    </row>
    <row r="7" customFormat="false" ht="15" hidden="false" customHeight="false" outlineLevel="0" collapsed="false">
      <c r="A7" s="0" t="n">
        <v>0</v>
      </c>
      <c r="B7" s="0" t="s">
        <v>646</v>
      </c>
      <c r="C7" s="0" t="s">
        <v>620</v>
      </c>
      <c r="D7" s="0" t="s">
        <v>621</v>
      </c>
      <c r="E7" s="0" t="s">
        <v>622</v>
      </c>
      <c r="F7" s="0" t="s">
        <v>621</v>
      </c>
      <c r="G7" s="0" t="s">
        <v>622</v>
      </c>
    </row>
    <row r="8" customFormat="false" ht="15" hidden="false" customHeight="false" outlineLevel="0" collapsed="false">
      <c r="A8" s="0" t="n">
        <v>100</v>
      </c>
      <c r="B8" s="0" t="s">
        <v>644</v>
      </c>
      <c r="C8" s="0" t="s">
        <v>615</v>
      </c>
      <c r="D8" s="0" t="s">
        <v>626</v>
      </c>
      <c r="E8" s="0" t="s">
        <v>627</v>
      </c>
      <c r="F8" s="0" t="s">
        <v>647</v>
      </c>
      <c r="G8" s="0" t="s">
        <v>627</v>
      </c>
    </row>
    <row r="9" customFormat="false" ht="15" hidden="false" customHeight="false" outlineLevel="0" collapsed="false">
      <c r="A9" s="0" t="n">
        <v>100</v>
      </c>
      <c r="B9" s="0" t="s">
        <v>644</v>
      </c>
      <c r="C9" s="0" t="s">
        <v>620</v>
      </c>
      <c r="D9" s="0" t="s">
        <v>630</v>
      </c>
      <c r="E9" s="0" t="s">
        <v>627</v>
      </c>
      <c r="F9" s="0" t="s">
        <v>648</v>
      </c>
      <c r="G9" s="0" t="s">
        <v>627</v>
      </c>
    </row>
    <row r="10" customFormat="false" ht="15" hidden="false" customHeight="false" outlineLevel="0" collapsed="false">
      <c r="A10" s="0" t="n">
        <v>100</v>
      </c>
      <c r="B10" s="0" t="s">
        <v>645</v>
      </c>
      <c r="C10" s="0" t="s">
        <v>615</v>
      </c>
      <c r="D10" s="0" t="s">
        <v>649</v>
      </c>
      <c r="E10" s="0" t="s">
        <v>627</v>
      </c>
      <c r="F10" s="0" t="s">
        <v>650</v>
      </c>
      <c r="G10" s="0" t="s">
        <v>651</v>
      </c>
    </row>
    <row r="11" customFormat="false" ht="15" hidden="false" customHeight="false" outlineLevel="0" collapsed="false">
      <c r="A11" s="0" t="n">
        <v>100</v>
      </c>
      <c r="B11" s="0" t="s">
        <v>645</v>
      </c>
      <c r="C11" s="0" t="s">
        <v>620</v>
      </c>
      <c r="D11" s="0" t="s">
        <v>652</v>
      </c>
      <c r="E11" s="0" t="s">
        <v>653</v>
      </c>
      <c r="F11" s="0" t="s">
        <v>654</v>
      </c>
      <c r="G11" s="0" t="s">
        <v>655</v>
      </c>
    </row>
    <row r="12" customFormat="false" ht="15" hidden="false" customHeight="false" outlineLevel="0" collapsed="false">
      <c r="A12" s="0" t="n">
        <v>100</v>
      </c>
      <c r="B12" s="0" t="s">
        <v>646</v>
      </c>
      <c r="C12" s="0" t="s">
        <v>615</v>
      </c>
      <c r="D12" s="0" t="s">
        <v>656</v>
      </c>
      <c r="E12" s="0" t="s">
        <v>657</v>
      </c>
      <c r="F12" s="0" t="s">
        <v>658</v>
      </c>
      <c r="G12" s="0" t="s">
        <v>659</v>
      </c>
    </row>
    <row r="13" customFormat="false" ht="15" hidden="false" customHeight="false" outlineLevel="0" collapsed="false">
      <c r="A13" s="0" t="n">
        <v>100</v>
      </c>
      <c r="B13" s="0" t="s">
        <v>646</v>
      </c>
      <c r="C13" s="0" t="s">
        <v>620</v>
      </c>
      <c r="D13" s="0" t="s">
        <v>660</v>
      </c>
      <c r="E13" s="0" t="s">
        <v>661</v>
      </c>
      <c r="F13" s="0" t="s">
        <v>662</v>
      </c>
      <c r="G13" s="0" t="s">
        <v>663</v>
      </c>
    </row>
    <row r="14" customFormat="false" ht="15" hidden="false" customHeight="false" outlineLevel="0" collapsed="false">
      <c r="A14" s="0" t="n">
        <v>500</v>
      </c>
      <c r="B14" s="0" t="s">
        <v>644</v>
      </c>
      <c r="C14" s="0" t="s">
        <v>615</v>
      </c>
      <c r="D14" s="0" t="s">
        <v>634</v>
      </c>
      <c r="E14" s="0" t="s">
        <v>627</v>
      </c>
      <c r="F14" s="0" t="s">
        <v>664</v>
      </c>
      <c r="G14" s="0" t="s">
        <v>627</v>
      </c>
    </row>
    <row r="15" customFormat="false" ht="15" hidden="false" customHeight="false" outlineLevel="0" collapsed="false">
      <c r="A15" s="0" t="n">
        <v>500</v>
      </c>
      <c r="B15" s="0" t="s">
        <v>644</v>
      </c>
      <c r="C15" s="0" t="s">
        <v>620</v>
      </c>
      <c r="D15" s="0" t="s">
        <v>637</v>
      </c>
      <c r="E15" s="0" t="s">
        <v>627</v>
      </c>
      <c r="F15" s="0" t="s">
        <v>665</v>
      </c>
      <c r="G15" s="0" t="s">
        <v>627</v>
      </c>
    </row>
    <row r="16" customFormat="false" ht="15" hidden="false" customHeight="false" outlineLevel="0" collapsed="false">
      <c r="A16" s="0" t="n">
        <v>500</v>
      </c>
      <c r="B16" s="0" t="s">
        <v>645</v>
      </c>
      <c r="C16" s="0" t="s">
        <v>615</v>
      </c>
      <c r="D16" s="0" t="s">
        <v>666</v>
      </c>
      <c r="E16" s="0" t="s">
        <v>627</v>
      </c>
      <c r="F16" s="0" t="s">
        <v>667</v>
      </c>
      <c r="G16" s="0" t="s">
        <v>627</v>
      </c>
    </row>
    <row r="17" customFormat="false" ht="15" hidden="false" customHeight="false" outlineLevel="0" collapsed="false">
      <c r="A17" s="0" t="n">
        <v>500</v>
      </c>
      <c r="B17" s="0" t="s">
        <v>645</v>
      </c>
      <c r="C17" s="0" t="s">
        <v>620</v>
      </c>
      <c r="D17" s="0" t="s">
        <v>668</v>
      </c>
      <c r="E17" s="0" t="s">
        <v>627</v>
      </c>
      <c r="F17" s="0" t="s">
        <v>669</v>
      </c>
      <c r="G17" s="0" t="s">
        <v>670</v>
      </c>
    </row>
    <row r="18" customFormat="false" ht="15" hidden="false" customHeight="false" outlineLevel="0" collapsed="false">
      <c r="A18" s="0" t="n">
        <v>500</v>
      </c>
      <c r="B18" s="0" t="s">
        <v>646</v>
      </c>
      <c r="C18" s="0" t="s">
        <v>615</v>
      </c>
      <c r="D18" s="0" t="s">
        <v>671</v>
      </c>
      <c r="E18" s="0" t="s">
        <v>672</v>
      </c>
      <c r="F18" s="0" t="s">
        <v>673</v>
      </c>
      <c r="G18" s="0" t="s">
        <v>674</v>
      </c>
    </row>
    <row r="19" customFormat="false" ht="15" hidden="false" customHeight="false" outlineLevel="0" collapsed="false">
      <c r="A19" s="0" t="n">
        <v>500</v>
      </c>
      <c r="B19" s="0" t="s">
        <v>646</v>
      </c>
      <c r="C19" s="0" t="s">
        <v>620</v>
      </c>
      <c r="D19" s="0" t="s">
        <v>675</v>
      </c>
      <c r="E19" s="0" t="s">
        <v>676</v>
      </c>
      <c r="F19" s="0" t="s">
        <v>677</v>
      </c>
      <c r="G19" s="0" t="s">
        <v>678</v>
      </c>
    </row>
  </sheetData>
  <autoFilter ref="A1:G19"/>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5" zeroHeight="false" outlineLevelRow="0" outlineLevelCol="0"/>
  <cols>
    <col collapsed="false" customWidth="true" hidden="false" outlineLevel="0" max="6" min="1" style="0" width="24"/>
  </cols>
  <sheetData>
    <row r="1" customFormat="false" ht="15" hidden="false" customHeight="false" outlineLevel="0" collapsed="false">
      <c r="A1" s="23" t="s">
        <v>608</v>
      </c>
      <c r="B1" s="23" t="s">
        <v>679</v>
      </c>
      <c r="C1" s="23" t="s">
        <v>680</v>
      </c>
      <c r="D1" s="23" t="s">
        <v>609</v>
      </c>
      <c r="E1" s="23" t="s">
        <v>681</v>
      </c>
      <c r="F1" s="23" t="s">
        <v>613</v>
      </c>
    </row>
    <row r="2" customFormat="false" ht="15" hidden="false" customHeight="false" outlineLevel="0" collapsed="false">
      <c r="A2" s="0" t="n">
        <v>0</v>
      </c>
      <c r="B2" s="0" t="s">
        <v>682</v>
      </c>
      <c r="C2" s="0" t="s">
        <v>683</v>
      </c>
      <c r="D2" s="0" t="s">
        <v>615</v>
      </c>
      <c r="E2" s="0" t="s">
        <v>617</v>
      </c>
      <c r="F2" s="0" t="s">
        <v>618</v>
      </c>
    </row>
    <row r="3" customFormat="false" ht="15" hidden="false" customHeight="false" outlineLevel="0" collapsed="false">
      <c r="A3" s="0" t="n">
        <v>0</v>
      </c>
      <c r="B3" s="0" t="s">
        <v>682</v>
      </c>
      <c r="C3" s="0" t="s">
        <v>683</v>
      </c>
      <c r="D3" s="0" t="s">
        <v>620</v>
      </c>
      <c r="E3" s="0" t="s">
        <v>621</v>
      </c>
      <c r="F3" s="0" t="s">
        <v>622</v>
      </c>
    </row>
    <row r="4" customFormat="false" ht="15" hidden="false" customHeight="false" outlineLevel="0" collapsed="false">
      <c r="A4" s="0" t="n">
        <v>0</v>
      </c>
      <c r="B4" s="0" t="s">
        <v>684</v>
      </c>
      <c r="C4" s="0" t="s">
        <v>685</v>
      </c>
      <c r="D4" s="0" t="s">
        <v>615</v>
      </c>
      <c r="E4" s="0" t="s">
        <v>617</v>
      </c>
      <c r="F4" s="0" t="s">
        <v>618</v>
      </c>
    </row>
    <row r="5" customFormat="false" ht="15" hidden="false" customHeight="false" outlineLevel="0" collapsed="false">
      <c r="A5" s="0" t="n">
        <v>0</v>
      </c>
      <c r="B5" s="0" t="s">
        <v>684</v>
      </c>
      <c r="C5" s="0" t="s">
        <v>685</v>
      </c>
      <c r="D5" s="0" t="s">
        <v>620</v>
      </c>
      <c r="E5" s="0" t="s">
        <v>621</v>
      </c>
      <c r="F5" s="0" t="s">
        <v>622</v>
      </c>
    </row>
    <row r="6" customFormat="false" ht="15" hidden="false" customHeight="false" outlineLevel="0" collapsed="false">
      <c r="A6" s="0" t="n">
        <v>0</v>
      </c>
      <c r="B6" s="0" t="s">
        <v>686</v>
      </c>
      <c r="C6" s="0" t="s">
        <v>687</v>
      </c>
      <c r="D6" s="0" t="s">
        <v>615</v>
      </c>
      <c r="E6" s="0" t="s">
        <v>617</v>
      </c>
      <c r="F6" s="0" t="s">
        <v>618</v>
      </c>
    </row>
    <row r="7" customFormat="false" ht="15" hidden="false" customHeight="false" outlineLevel="0" collapsed="false">
      <c r="A7" s="0" t="n">
        <v>0</v>
      </c>
      <c r="B7" s="0" t="s">
        <v>686</v>
      </c>
      <c r="C7" s="0" t="s">
        <v>687</v>
      </c>
      <c r="D7" s="0" t="s">
        <v>620</v>
      </c>
      <c r="E7" s="0" t="s">
        <v>621</v>
      </c>
      <c r="F7" s="0" t="s">
        <v>622</v>
      </c>
    </row>
    <row r="8" customFormat="false" ht="15" hidden="false" customHeight="false" outlineLevel="0" collapsed="false">
      <c r="A8" s="0" t="n">
        <v>100</v>
      </c>
      <c r="B8" s="0" t="s">
        <v>682</v>
      </c>
      <c r="C8" s="0" t="s">
        <v>683</v>
      </c>
      <c r="D8" s="0" t="s">
        <v>615</v>
      </c>
      <c r="E8" s="0" t="s">
        <v>688</v>
      </c>
      <c r="F8" s="0" t="s">
        <v>627</v>
      </c>
    </row>
    <row r="9" customFormat="false" ht="15" hidden="false" customHeight="false" outlineLevel="0" collapsed="false">
      <c r="A9" s="0" t="n">
        <v>100</v>
      </c>
      <c r="B9" s="0" t="s">
        <v>682</v>
      </c>
      <c r="C9" s="0" t="s">
        <v>683</v>
      </c>
      <c r="D9" s="0" t="s">
        <v>620</v>
      </c>
      <c r="E9" s="0" t="s">
        <v>689</v>
      </c>
      <c r="F9" s="0" t="s">
        <v>690</v>
      </c>
    </row>
    <row r="10" customFormat="false" ht="15" hidden="false" customHeight="false" outlineLevel="0" collapsed="false">
      <c r="A10" s="0" t="n">
        <v>100</v>
      </c>
      <c r="B10" s="0" t="s">
        <v>684</v>
      </c>
      <c r="C10" s="0" t="s">
        <v>685</v>
      </c>
      <c r="D10" s="0" t="s">
        <v>615</v>
      </c>
      <c r="E10" s="0" t="s">
        <v>626</v>
      </c>
      <c r="F10" s="0" t="s">
        <v>627</v>
      </c>
    </row>
    <row r="11" customFormat="false" ht="15" hidden="false" customHeight="false" outlineLevel="0" collapsed="false">
      <c r="A11" s="0" t="n">
        <v>100</v>
      </c>
      <c r="B11" s="0" t="s">
        <v>684</v>
      </c>
      <c r="C11" s="0" t="s">
        <v>685</v>
      </c>
      <c r="D11" s="0" t="s">
        <v>620</v>
      </c>
      <c r="E11" s="0" t="s">
        <v>630</v>
      </c>
      <c r="F11" s="0" t="s">
        <v>627</v>
      </c>
    </row>
    <row r="12" customFormat="false" ht="15" hidden="false" customHeight="false" outlineLevel="0" collapsed="false">
      <c r="A12" s="0" t="n">
        <v>100</v>
      </c>
      <c r="B12" s="0" t="s">
        <v>686</v>
      </c>
      <c r="C12" s="0" t="s">
        <v>687</v>
      </c>
      <c r="D12" s="0" t="s">
        <v>615</v>
      </c>
      <c r="E12" s="0" t="s">
        <v>691</v>
      </c>
      <c r="F12" s="0" t="s">
        <v>627</v>
      </c>
    </row>
    <row r="13" customFormat="false" ht="15" hidden="false" customHeight="false" outlineLevel="0" collapsed="false">
      <c r="A13" s="0" t="n">
        <v>100</v>
      </c>
      <c r="B13" s="0" t="s">
        <v>686</v>
      </c>
      <c r="C13" s="0" t="s">
        <v>687</v>
      </c>
      <c r="D13" s="0" t="s">
        <v>620</v>
      </c>
      <c r="E13" s="0" t="s">
        <v>692</v>
      </c>
      <c r="F13" s="0" t="s">
        <v>627</v>
      </c>
    </row>
    <row r="14" customFormat="false" ht="15" hidden="false" customHeight="false" outlineLevel="0" collapsed="false">
      <c r="A14" s="0" t="n">
        <v>500</v>
      </c>
      <c r="B14" s="0" t="s">
        <v>682</v>
      </c>
      <c r="C14" s="0" t="s">
        <v>683</v>
      </c>
      <c r="D14" s="0" t="s">
        <v>615</v>
      </c>
      <c r="E14" s="0" t="s">
        <v>693</v>
      </c>
      <c r="F14" s="0" t="s">
        <v>627</v>
      </c>
    </row>
    <row r="15" customFormat="false" ht="15" hidden="false" customHeight="false" outlineLevel="0" collapsed="false">
      <c r="A15" s="0" t="n">
        <v>500</v>
      </c>
      <c r="B15" s="0" t="s">
        <v>682</v>
      </c>
      <c r="C15" s="0" t="s">
        <v>683</v>
      </c>
      <c r="D15" s="0" t="s">
        <v>620</v>
      </c>
      <c r="E15" s="0" t="s">
        <v>694</v>
      </c>
      <c r="F15" s="0" t="s">
        <v>627</v>
      </c>
    </row>
    <row r="16" customFormat="false" ht="15" hidden="false" customHeight="false" outlineLevel="0" collapsed="false">
      <c r="A16" s="0" t="n">
        <v>500</v>
      </c>
      <c r="B16" s="0" t="s">
        <v>684</v>
      </c>
      <c r="C16" s="0" t="s">
        <v>685</v>
      </c>
      <c r="D16" s="0" t="s">
        <v>615</v>
      </c>
      <c r="E16" s="0" t="s">
        <v>634</v>
      </c>
      <c r="F16" s="0" t="s">
        <v>627</v>
      </c>
    </row>
    <row r="17" customFormat="false" ht="15" hidden="false" customHeight="false" outlineLevel="0" collapsed="false">
      <c r="A17" s="0" t="n">
        <v>500</v>
      </c>
      <c r="B17" s="0" t="s">
        <v>684</v>
      </c>
      <c r="C17" s="0" t="s">
        <v>685</v>
      </c>
      <c r="D17" s="0" t="s">
        <v>620</v>
      </c>
      <c r="E17" s="0" t="s">
        <v>637</v>
      </c>
      <c r="F17" s="0" t="s">
        <v>627</v>
      </c>
    </row>
    <row r="18" customFormat="false" ht="15" hidden="false" customHeight="false" outlineLevel="0" collapsed="false">
      <c r="A18" s="0" t="n">
        <v>500</v>
      </c>
      <c r="B18" s="0" t="s">
        <v>686</v>
      </c>
      <c r="C18" s="0" t="s">
        <v>687</v>
      </c>
      <c r="D18" s="0" t="s">
        <v>615</v>
      </c>
      <c r="E18" s="0" t="s">
        <v>695</v>
      </c>
      <c r="F18" s="0" t="s">
        <v>627</v>
      </c>
    </row>
    <row r="19" customFormat="false" ht="15" hidden="false" customHeight="false" outlineLevel="0" collapsed="false">
      <c r="A19" s="0" t="n">
        <v>500</v>
      </c>
      <c r="B19" s="0" t="s">
        <v>686</v>
      </c>
      <c r="C19" s="0" t="s">
        <v>687</v>
      </c>
      <c r="D19" s="0" t="s">
        <v>620</v>
      </c>
      <c r="E19" s="0" t="s">
        <v>696</v>
      </c>
      <c r="F19" s="0" t="s">
        <v>627</v>
      </c>
    </row>
  </sheetData>
  <autoFilter ref="A1:F19"/>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9375" defaultRowHeight="15" zeroHeight="false" outlineLevelRow="0" outlineLevelCol="0"/>
  <cols>
    <col collapsed="false" customWidth="true" hidden="false" outlineLevel="0" max="1" min="1" style="0" width="120"/>
  </cols>
  <sheetData>
    <row r="1" customFormat="false" ht="42" hidden="false" customHeight="true" outlineLevel="0" collapsed="false">
      <c r="A1" s="1" t="s">
        <v>697</v>
      </c>
    </row>
    <row r="2" customFormat="false" ht="55.5" hidden="false" customHeight="true" outlineLevel="0" collapsed="false">
      <c r="A2" s="1" t="s">
        <v>698</v>
      </c>
    </row>
    <row r="3" customFormat="false" ht="69.75" hidden="false" customHeight="true" outlineLevel="0" collapsed="false">
      <c r="A3" s="1" t="s">
        <v>699</v>
      </c>
    </row>
    <row r="4" customFormat="false" ht="55.5" hidden="false" customHeight="true" outlineLevel="0" collapsed="false">
      <c r="A4" s="1" t="s">
        <v>700</v>
      </c>
    </row>
    <row r="5" customFormat="false" ht="55.5" hidden="false" customHeight="true" outlineLevel="0" collapsed="false">
      <c r="A5" s="1" t="s">
        <v>701</v>
      </c>
    </row>
    <row r="6" customFormat="false" ht="55.5" hidden="false" customHeight="true" outlineLevel="0" collapsed="false">
      <c r="A6" s="1" t="s">
        <v>702</v>
      </c>
    </row>
    <row r="7" customFormat="false" ht="279.75" hidden="false" customHeight="true" outlineLevel="0" collapsed="false">
      <c r="A7" s="1" t="s">
        <v>703</v>
      </c>
    </row>
    <row r="8" customFormat="false" ht="55.5" hidden="false" customHeight="true" outlineLevel="0" collapsed="false">
      <c r="A8" s="1" t="s">
        <v>704</v>
      </c>
    </row>
    <row r="9" customFormat="false" ht="69.75" hidden="false" customHeight="true" outlineLevel="0" collapsed="false">
      <c r="A9" s="1" t="s">
        <v>705</v>
      </c>
    </row>
    <row r="10" customFormat="false" ht="111.75" hidden="false" customHeight="true" outlineLevel="0" collapsed="false">
      <c r="A10" s="1" t="s">
        <v>706</v>
      </c>
    </row>
    <row r="11" customFormat="false" ht="55.5" hidden="false" customHeight="true" outlineLevel="0" collapsed="false">
      <c r="A11" s="1" t="s">
        <v>707</v>
      </c>
    </row>
    <row r="12" customFormat="false" ht="55.5" hidden="false" customHeight="true" outlineLevel="0" collapsed="false">
      <c r="A12" s="1" t="s">
        <v>708</v>
      </c>
    </row>
    <row r="13" customFormat="false" ht="42" hidden="false" customHeight="true" outlineLevel="0" collapsed="false">
      <c r="A13" s="1" t="s">
        <v>709</v>
      </c>
    </row>
    <row r="14" customFormat="false" ht="42" hidden="false" customHeight="true" outlineLevel="0" collapsed="false">
      <c r="A14" s="1" t="s">
        <v>710</v>
      </c>
    </row>
    <row r="15" customFormat="false" ht="42" hidden="false" customHeight="true" outlineLevel="0" collapsed="false">
      <c r="A15" s="1" t="s">
        <v>711</v>
      </c>
    </row>
    <row r="16" customFormat="false" ht="55.5" hidden="false" customHeight="true" outlineLevel="0" collapsed="false">
      <c r="A16" s="1" t="s">
        <v>712</v>
      </c>
    </row>
    <row r="17" customFormat="false" ht="97.5" hidden="false" customHeight="true" outlineLevel="0" collapsed="false">
      <c r="A17" s="1" t="s">
        <v>713</v>
      </c>
    </row>
    <row r="18" customFormat="false" ht="55.5" hidden="false" customHeight="true" outlineLevel="0" collapsed="false">
      <c r="A18" s="1" t="s">
        <v>714</v>
      </c>
    </row>
    <row r="19" customFormat="false" ht="55.5" hidden="false" customHeight="true" outlineLevel="0" collapsed="false">
      <c r="A19" s="1" t="s">
        <v>715</v>
      </c>
    </row>
    <row r="20" customFormat="false" ht="55.5" hidden="false" customHeight="true" outlineLevel="0" collapsed="false">
      <c r="A20" s="1" t="s">
        <v>716</v>
      </c>
    </row>
    <row r="21" customFormat="false" ht="55.5" hidden="false" customHeight="true" outlineLevel="0" collapsed="false">
      <c r="A21" s="1" t="s">
        <v>717</v>
      </c>
    </row>
    <row r="22" customFormat="false" ht="42" hidden="false" customHeight="true" outlineLevel="0" collapsed="false">
      <c r="A22" s="1" t="s">
        <v>718</v>
      </c>
    </row>
    <row r="23" customFormat="false" ht="84" hidden="false" customHeight="true" outlineLevel="0" collapsed="false">
      <c r="A23" s="1" t="s">
        <v>719</v>
      </c>
    </row>
    <row r="24" customFormat="false" ht="84" hidden="false" customHeight="true" outlineLevel="0" collapsed="false">
      <c r="A24" s="1" t="s">
        <v>720</v>
      </c>
    </row>
    <row r="25" customFormat="false" ht="42" hidden="false" customHeight="true" outlineLevel="0" collapsed="false">
      <c r="A25" s="1" t="s">
        <v>721</v>
      </c>
    </row>
    <row r="26" customFormat="false" ht="55.5" hidden="false" customHeight="true" outlineLevel="0" collapsed="false">
      <c r="A26" s="1" t="s">
        <v>722</v>
      </c>
    </row>
    <row r="27" customFormat="false" ht="69.75" hidden="false" customHeight="true" outlineLevel="0" collapsed="false">
      <c r="A27" s="1" t="s">
        <v>723</v>
      </c>
    </row>
    <row r="28" customFormat="false" ht="97.5" hidden="false" customHeight="true" outlineLevel="0" collapsed="false">
      <c r="A28" s="1" t="s">
        <v>724</v>
      </c>
    </row>
    <row r="29" customFormat="false" ht="84" hidden="false" customHeight="true" outlineLevel="0" collapsed="false">
      <c r="A29" s="1" t="s">
        <v>725</v>
      </c>
    </row>
    <row r="30" customFormat="false" ht="69.75" hidden="false" customHeight="true" outlineLevel="0" collapsed="false">
      <c r="A30" s="1" t="s">
        <v>726</v>
      </c>
    </row>
    <row r="31" customFormat="false" ht="55.5" hidden="false" customHeight="true" outlineLevel="0" collapsed="false">
      <c r="A31" s="1" t="s">
        <v>727</v>
      </c>
    </row>
    <row r="32" customFormat="false" ht="27.75" hidden="false" customHeight="true" outlineLevel="0" collapsed="false">
      <c r="A32" s="1" t="s">
        <v>728</v>
      </c>
    </row>
    <row r="33" customFormat="false" ht="294" hidden="false" customHeight="true" outlineLevel="0" collapsed="false">
      <c r="A33" s="1" t="s">
        <v>729</v>
      </c>
    </row>
    <row r="34" customFormat="false" ht="55.5" hidden="false" customHeight="true" outlineLevel="0" collapsed="false">
      <c r="A34" s="1" t="s">
        <v>730</v>
      </c>
    </row>
    <row r="35" customFormat="false" ht="55.5" hidden="false" customHeight="true" outlineLevel="0" collapsed="false">
      <c r="A35" s="1" t="s">
        <v>731</v>
      </c>
    </row>
    <row r="36" customFormat="false" ht="69.75" hidden="false" customHeight="true" outlineLevel="0" collapsed="false">
      <c r="A36" s="1" t="s">
        <v>732</v>
      </c>
    </row>
    <row r="37" customFormat="false" ht="69.75" hidden="false" customHeight="true" outlineLevel="0" collapsed="false">
      <c r="A37" s="1" t="s">
        <v>733</v>
      </c>
    </row>
    <row r="38" customFormat="false" ht="69.75" hidden="false" customHeight="true" outlineLevel="0" collapsed="false">
      <c r="A38" s="1" t="s">
        <v>734</v>
      </c>
    </row>
    <row r="39" customFormat="false" ht="84" hidden="false" customHeight="true" outlineLevel="0" collapsed="false">
      <c r="A39" s="1" t="s">
        <v>735</v>
      </c>
    </row>
    <row r="40" customFormat="false" ht="55.5" hidden="false" customHeight="true" outlineLevel="0" collapsed="false">
      <c r="A40" s="1" t="s">
        <v>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2026-10-12T04:42:46Z</dcterms:created>
  <dc:creator>openpyxl</dc:creator>
  <dc:description/>
  <dc:language>en-US</dc:language>
  <cp:lastModifiedBy/>
  <dcterms:modified xsi:type="dcterms:W3CDTF">2026-10-12T04:42:46Z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